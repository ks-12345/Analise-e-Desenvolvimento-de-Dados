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2devt\Documents\Brenda-Repositorios\"/>
    </mc:Choice>
  </mc:AlternateContent>
  <xr:revisionPtr revIDLastSave="0" documentId="8_{19646C1D-F0D5-40DB-B4F8-E3F55CE7F3C1}" xr6:coauthVersionLast="47" xr6:coauthVersionMax="47" xr10:uidLastSave="{00000000-0000-0000-0000-000000000000}"/>
  <bookViews>
    <workbookView xWindow="-110" yWindow="-110" windowWidth="19420" windowHeight="10300" activeTab="1" xr2:uid="{569979F2-6F55-4AC5-8C5F-E0EADC5C49F2}"/>
  </bookViews>
  <sheets>
    <sheet name="Online Sales Data" sheetId="2" r:id="rId1"/>
    <sheet name="Online Sales Data - Analise" sheetId="3" r:id="rId2"/>
    <sheet name="Planilha1" sheetId="1" r:id="rId3"/>
  </sheets>
  <definedNames>
    <definedName name="DadosExternos_1" localSheetId="0" hidden="1">'Online Sales Data'!$A$1:$I$241</definedName>
    <definedName name="DadosExternos_1" localSheetId="1" hidden="1">'Online Sales Data - Analise'!$A$1:$J$241</definedName>
    <definedName name="SegmentaçãodeDados_Months">#N/A</definedName>
    <definedName name="SegmentaçãodeDados_Payment_Method">#N/A</definedName>
    <definedName name="SegmentaçãodeDados_Product_Category">#N/A</definedName>
    <definedName name="SegmentaçãodeDados_Region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3" l="1"/>
  <c r="P37" i="3"/>
  <c r="P35" i="3"/>
  <c r="P29" i="3"/>
  <c r="P30" i="3"/>
  <c r="P31" i="3"/>
  <c r="P28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M29" i="3" l="1"/>
  <c r="M39" i="3"/>
  <c r="M38" i="3"/>
  <c r="M28" i="3"/>
  <c r="M36" i="3"/>
  <c r="M35" i="3"/>
  <c r="M34" i="3"/>
  <c r="M33" i="3"/>
  <c r="M32" i="3"/>
  <c r="M31" i="3"/>
  <c r="M30" i="3"/>
  <c r="M3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696D30-1689-4373-B501-314F5899F7D9}" keepAlive="1" name="Consulta - Online Sales Data" description="Conexão com a consulta 'Online Sales Data' na pasta de trabalho." type="5" refreshedVersion="8" background="1" saveData="1">
    <dbPr connection="Provider=Microsoft.Mashup.OleDb.1;Data Source=$Workbook$;Location=&quot;Online Sales Data&quot;;Extended Properties=&quot;&quot;" command="SELECT * FROM [Online Sales Data]"/>
  </connection>
  <connection id="2" xr16:uid="{13E58131-E3BF-436E-8AE0-2E0E13DBCDAB}" keepAlive="1" name="Consulta - Online Sales Data (2)" description="Conexão com a consulta 'Online Sales Data (2)' na pasta de trabalho." type="5" refreshedVersion="8" background="1" saveData="1">
    <dbPr connection="Provider=Microsoft.Mashup.OleDb.1;Data Source=$Workbook$;Location=&quot;Online Sales Data (2)&quot;;Extended Properties=&quot;&quot;" command="SELECT * FROM [Online Sales Data (2)]"/>
  </connection>
</connections>
</file>

<file path=xl/sharedStrings.xml><?xml version="1.0" encoding="utf-8"?>
<sst xmlns="http://schemas.openxmlformats.org/spreadsheetml/2006/main" count="1987" uniqueCount="285">
  <si>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</si>
  <si>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</si>
  <si>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</si>
  <si>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</si>
  <si>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</si>
  <si>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</si>
  <si>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</si>
  <si>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</si>
  <si>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</si>
  <si>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</si>
  <si>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</si>
  <si>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</si>
  <si>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</si>
  <si>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</si>
  <si>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</si>
  <si>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</si>
  <si>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</si>
  <si>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</si>
  <si>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</si>
  <si>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</si>
  <si>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</si>
  <si>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</si>
  <si>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</si>
  <si>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</si>
  <si>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</si>
  <si>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</si>
  <si>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</si>
  <si>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</si>
  <si>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</si>
  <si>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</si>
  <si>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</si>
  <si>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</si>
  <si>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</si>
  <si>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</si>
  <si>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</si>
  <si>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</si>
  <si>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</si>
  <si>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</si>
  <si>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</si>
  <si>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</si>
  <si>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</si>
  <si>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</si>
  <si>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</si>
  <si>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</si>
  <si>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</si>
  <si>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</si>
  <si>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</si>
  <si>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</si>
  <si>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</si>
  <si>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</si>
  <si>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</si>
  <si>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</si>
  <si>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</si>
  <si>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</si>
  <si>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</si>
  <si>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</si>
  <si>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</si>
  <si>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</si>
  <si>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</si>
  <si>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</si>
  <si>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</si>
  <si>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</si>
  <si>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</si>
  <si>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</si>
  <si>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</si>
  <si>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</si>
  <si>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</si>
  <si>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</si>
  <si>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</si>
  <si>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</si>
  <si>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</si>
  <si>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</si>
  <si>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</si>
  <si>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</si>
  <si>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</si>
  <si>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</si>
  <si>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</si>
  <si>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</si>
  <si>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</si>
  <si>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</si>
  <si>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</si>
  <si>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</si>
  <si>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</si>
  <si>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</si>
  <si>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</si>
  <si>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</si>
  <si>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</si>
  <si>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</si>
  <si>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</si>
  <si>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</si>
  <si>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</si>
  <si>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</si>
  <si>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</si>
  <si>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</si>
  <si>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</si>
  <si>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</si>
  <si>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</si>
  <si>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</si>
  <si>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</si>
  <si>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</si>
  <si>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</si>
  <si>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</si>
  <si>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</si>
  <si>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</si>
  <si>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</si>
  <si>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</si>
  <si>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</si>
  <si>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</si>
  <si>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</si>
  <si>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</si>
  <si>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</si>
  <si>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</si>
  <si>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</si>
  <si>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</si>
  <si>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</si>
  <si>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</si>
  <si>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</si>
  <si>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</si>
  <si>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</si>
  <si>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</si>
  <si>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</si>
  <si>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</si>
  <si>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</si>
  <si>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</si>
  <si>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</si>
  <si>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</si>
  <si>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</si>
  <si>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</si>
  <si>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</si>
  <si>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</si>
  <si>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</si>
  <si>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</si>
  <si>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</si>
  <si>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</si>
  <si>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</si>
  <si>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</si>
  <si>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</si>
  <si>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</si>
  <si>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</si>
  <si>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</si>
  <si>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</si>
  <si>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</si>
  <si>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</si>
  <si>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</si>
  <si>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</si>
  <si>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</si>
  <si>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</si>
  <si>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</si>
  <si>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</si>
  <si>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</si>
  <si>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</si>
  <si>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</si>
  <si>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</si>
  <si>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</si>
  <si>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</si>
  <si>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</si>
  <si>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</si>
  <si>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</si>
  <si>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</si>
  <si>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</si>
  <si>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</si>
  <si>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</si>
  <si>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</si>
  <si>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</si>
  <si>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</si>
  <si>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</si>
  <si>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</si>
  <si>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</si>
  <si>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</si>
  <si>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</si>
  <si>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</si>
  <si>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</si>
  <si>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</si>
  <si>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</si>
  <si>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</si>
  <si>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</si>
  <si>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</si>
  <si>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</si>
  <si>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</si>
  <si>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</si>
  <si>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</si>
  <si>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</si>
  <si>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</si>
  <si>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</si>
  <si>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</si>
  <si>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</si>
  <si>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</si>
  <si>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</si>
  <si>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</si>
  <si>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</si>
  <si>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</si>
  <si>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</si>
  <si>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</si>
  <si>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</si>
  <si>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</si>
  <si>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</si>
  <si>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</si>
  <si>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</si>
  <si>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</si>
  <si>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</si>
  <si>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</si>
  <si>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</si>
  <si>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</si>
  <si>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</si>
  <si>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</si>
  <si>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</si>
  <si>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</si>
  <si>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</si>
  <si>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</si>
  <si>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</si>
  <si>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</si>
  <si>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</si>
  <si>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</si>
  <si>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</si>
  <si>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</si>
  <si>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</si>
  <si>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</si>
  <si>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</si>
  <si>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</si>
  <si>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</si>
  <si>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</si>
  <si>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</si>
  <si>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</si>
  <si>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</si>
  <si>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</si>
  <si>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</si>
  <si>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</si>
  <si>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</si>
  <si>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</si>
  <si>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</si>
  <si>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</si>
  <si>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</si>
  <si>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</si>
  <si>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</si>
  <si>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</si>
  <si>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</si>
  <si>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</si>
  <si>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</si>
  <si>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</si>
  <si>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</si>
  <si>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</si>
  <si>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</si>
  <si>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</si>
  <si>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</si>
  <si>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</si>
  <si>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</si>
  <si>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</si>
  <si>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</si>
  <si>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</si>
  <si>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</si>
  <si>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</si>
  <si>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</si>
  <si>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</si>
  <si>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Months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</si>
  <si>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</si>
  <si>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</si>
  <si>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</si>
  <si>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</si>
  <si>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</si>
  <si>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</si>
  <si>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</si>
  <si>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</si>
  <si>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</si>
  <si>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</si>
  <si>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</si>
  <si>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</si>
  <si>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Meses</t>
  </si>
  <si>
    <t>Total Vendas</t>
  </si>
  <si>
    <t>Categoria</t>
  </si>
  <si>
    <t>Credito</t>
  </si>
  <si>
    <t xml:space="preserve"> $1.123.907,00 </t>
  </si>
  <si>
    <t>Debito</t>
  </si>
  <si>
    <t xml:space="preserve"> $700.330,00 </t>
  </si>
  <si>
    <t>Clothing Debit</t>
  </si>
  <si>
    <t>Sports Credit</t>
  </si>
  <si>
    <t>Credit</t>
  </si>
  <si>
    <t xml:space="preserve"> $3.250.121,00 </t>
  </si>
  <si>
    <t xml:space="preserve"> $165.007,00 </t>
  </si>
  <si>
    <t>Eletronics</t>
  </si>
  <si>
    <t xml:space="preserve"> $3.085.114,00 </t>
  </si>
  <si>
    <t>Paypal</t>
  </si>
  <si>
    <t xml:space="preserve"> $1.761.127,00 </t>
  </si>
  <si>
    <t>Bautty Prod</t>
  </si>
  <si>
    <t xml:space="preserve"> $85.196,00 </t>
  </si>
  <si>
    <t xml:space="preserve"> $1.675.931,00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</si>
</sst>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/>
    <xf numFmtId="44" fontId="0" fillId="0" borderId="3" xfId="0" applyNumberFormat="1" applyBorder="1"/>
    <xf numFmtId="0" fontId="3" fillId="0" borderId="4" xfId="0" applyFont="1" applyBorder="1"/>
    <xf numFmtId="0" fontId="3" fillId="0" borderId="5" xfId="0" applyFont="1" applyBorder="1"/>
    <xf numFmtId="0" fontId="0" fillId="0" borderId="6" xfId="0" applyBorder="1"/>
    <xf numFmtId="44" fontId="0" fillId="0" borderId="7" xfId="0" applyNumberFormat="1" applyBorder="1"/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/>
  </cellXfs>
  <cellStyles count="2">
    <cellStyle name="Moeda 2" xfId="1" xr:uid="{3B426E66-5F51-4CEA-8EF5-9EE777CD624D}"/>
    <cellStyle name="Normal" xfId="0" builtinId="0"/>
  </cellStyles>
  <dxfs count="35"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haredStrings" Target="sharedStrings.xml"/><Relationship Id="rId5" Type="http://schemas.microsoft.com/office/2007/relationships/slicerCache" Target="slicerCaches/slicerCache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microsoft.com/office/2007/relationships/slicerCache" Target="slicerCaches/slicerCache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529442</xdr:colOff>
      <xdr:row>9</xdr:row>
      <xdr:rowOff>48573</xdr:rowOff>
    </xdr:from>
    <xdr:to>
      <xdr:col>12</xdr:col>
      <xdr:colOff>619727</xdr:colOff>
      <xdr:row>20</xdr:row>
      <xdr:rowOff>103909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roduct Category">
              <a:extLst>
                <a:ext uri="{FF2B5EF4-FFF2-40B4-BE49-F238E27FC236}">
                  <a16:creationId xmlns:a16="http://schemas.microsoft.com/office/drawing/2014/main" id="{0BF97B6C-7AC5-2889-856F-491EC9064D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88192" y="1763073"/>
              <a:ext cx="1836535" cy="21508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729181</xdr:colOff>
      <xdr:row>1</xdr:row>
      <xdr:rowOff>88569</xdr:rowOff>
    </xdr:from>
    <xdr:to>
      <xdr:col>14</xdr:col>
      <xdr:colOff>879768</xdr:colOff>
      <xdr:row>8</xdr:row>
      <xdr:rowOff>23091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DED13782-8A60-F6C4-AFFD-770FFA988A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34181" y="279069"/>
              <a:ext cx="1817462" cy="1268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500578</xdr:colOff>
      <xdr:row>1</xdr:row>
      <xdr:rowOff>90632</xdr:rowOff>
    </xdr:from>
    <xdr:to>
      <xdr:col>12</xdr:col>
      <xdr:colOff>595667</xdr:colOff>
      <xdr:row>8</xdr:row>
      <xdr:rowOff>34636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Payment Method">
              <a:extLst>
                <a:ext uri="{FF2B5EF4-FFF2-40B4-BE49-F238E27FC236}">
                  <a16:creationId xmlns:a16="http://schemas.microsoft.com/office/drawing/2014/main" id="{3285295D-789C-D39C-CEC9-827711F1A8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59328" y="281132"/>
              <a:ext cx="1841339" cy="12775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756891</xdr:colOff>
      <xdr:row>9</xdr:row>
      <xdr:rowOff>11546</xdr:rowOff>
    </xdr:from>
    <xdr:to>
      <xdr:col>14</xdr:col>
      <xdr:colOff>895107</xdr:colOff>
      <xdr:row>23</xdr:row>
      <xdr:rowOff>44736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Months">
              <a:extLst>
                <a:ext uri="{FF2B5EF4-FFF2-40B4-BE49-F238E27FC236}">
                  <a16:creationId xmlns:a16="http://schemas.microsoft.com/office/drawing/2014/main" id="{D05A8BA9-EB8E-AD22-F024-18BD0A8D4D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1891" y="1726046"/>
              <a:ext cx="1805091" cy="2700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C9D095A-9FCB-4EEE-9C8B-03D2604021BC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Product Category" tableColumnId="3"/>
      <queryTableField id="4" name="Product Name" tableColumnId="4"/>
      <queryTableField id="5" name="Units Sold" tableColumnId="5"/>
      <queryTableField id="6" name="Unit Price" tableColumnId="6"/>
      <queryTableField id="7" name="Total Revenue" tableColumnId="7"/>
      <queryTableField id="8" name="Region" tableColumnId="8"/>
      <queryTableField id="9" name="Payment Metho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8E6A29C-2E20-4395-8AE3-76666B797740}" autoFormatId="16" applyNumberFormats="0" applyBorderFormats="0" applyFontFormats="0" applyPatternFormats="0" applyAlignmentFormats="0" applyWidthHeightFormats="0">
  <queryTableRefresh nextId="12">
    <queryTableFields count="10">
      <queryTableField id="1" name="Transaction ID" tableColumnId="1"/>
      <queryTableField id="11" dataBound="0" tableColumnId="11"/>
      <queryTableField id="2" name="Date" tableColumnId="2"/>
      <queryTableField id="3" name="Product Category" tableColumnId="3"/>
      <queryTableField id="4" name="Product Name" tableColumnId="4"/>
      <queryTableField id="5" name="Units Sold" tableColumnId="5"/>
      <queryTableField id="6" name="Unit Price" tableColumnId="6"/>
      <queryTableField id="7" name="Total Revenue" tableColumnId="7"/>
      <queryTableField id="8" name="Region" tableColumnId="8"/>
      <queryTableField id="9" name="Payment Method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ct_Category" xr10:uid="{E52AAEB5-DEF7-43FA-AF1B-EEC99CC2C920}" sourceName="Product Category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8B36069A-ED2F-4468-B475-8257EF08B8F7}" sourceName="Region">
  <extLst>
    <x:ext xmlns:x15="http://schemas.microsoft.com/office/spreadsheetml/2010/11/main" uri="{2F2917AC-EB37-4324-AD4E-5DD8C200BD13}">
      <x15:tableSlicerCache tableId="2" column="8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nt_Method" xr10:uid="{2DDAEE62-7A0C-4CB6-A168-CE4B67E3E94F}" sourceName="Payment Method">
  <extLst>
    <x:ext xmlns:x15="http://schemas.microsoft.com/office/spreadsheetml/2010/11/main" uri="{2F2917AC-EB37-4324-AD4E-5DD8C200BD13}">
      <x15:tableSlicerCache tableId="2" column="9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s" xr10:uid="{DE9A0456-1788-44B0-8E1A-118EC10225A8}" sourceName="Months">
  <extLst>
    <x:ext xmlns:x15="http://schemas.microsoft.com/office/spreadsheetml/2010/11/main" uri="{2F2917AC-EB37-4324-AD4E-5DD8C200BD13}">
      <x15:tableSlicerCache tableId="2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" xr10:uid="{8E2E4B6D-A400-431E-9486-F986A642BBA1}" cache="SegmentaçãodeDados_Product_Category" caption="Product Category" rowHeight="251883"/>
  <slicer name="Region" xr10:uid="{86BA3D72-9203-48FC-A5D3-6BDB928899F9}" cache="SegmentaçãodeDados_Region" caption="Region" rowHeight="251883"/>
  <slicer name="Payment Method" xr10:uid="{216F98F8-130A-4F57-832C-D9C9174DA7AA}" cache="SegmentaçãodeDados_Payment_Method" caption="Payment Method" rowHeight="251883"/>
  <slicer name="Months" xr10:uid="{763E4372-2626-4B69-BA0B-9CE98F991636}" cache="SegmentaçãodeDados_Months" caption="Months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1C7C0-281C-4AF5-993F-D295D7C77AE3}" name="Online_Sales_Data" displayName="Online_Sales_Data" ref="A1:I241" tableType="queryTable" totalsRowShown="0">
  <autoFilter ref="A1:I241" xr:uid="{3C11C7C0-281C-4AF5-993F-D295D7C77AE3}"/>
  <tableColumns count="9">
    <tableColumn id="1" xr3:uid="{3C852D87-53F6-4E78-A904-011061A6D703}" uniqueName="1" name="Transaction ID" queryTableFieldId="1"/>
    <tableColumn id="2" xr3:uid="{CA3B5E1F-2A39-4224-9B38-7E8EC35ECE03}" uniqueName="2" name="Date" queryTableFieldId="2" dataDxfId="34"/>
    <tableColumn id="3" xr3:uid="{86920F8E-7E31-47E5-BC50-42D278525B4F}" uniqueName="3" name="Product Category" queryTableFieldId="3" dataDxfId="33"/>
    <tableColumn id="4" xr3:uid="{617952B5-FB08-41AC-9927-12C4E177050E}" uniqueName="4" name="Product Name" queryTableFieldId="4" dataDxfId="32"/>
    <tableColumn id="5" xr3:uid="{2E4D63EE-DDFB-4146-A7F7-D35E0D6A4945}" uniqueName="5" name="Units Sold" queryTableFieldId="5"/>
    <tableColumn id="6" xr3:uid="{D2202E22-A31A-497F-B72A-F5E822BE1C61}" uniqueName="6" name="Unit Price" queryTableFieldId="6"/>
    <tableColumn id="7" xr3:uid="{96F288BF-D215-4743-A88C-09B8D668FC4C}" uniqueName="7" name="Total Revenue" queryTableFieldId="7"/>
    <tableColumn id="8" xr3:uid="{6EBDA2EA-2A8D-40CB-BE42-4D3A749B3490}" uniqueName="8" name="Region" queryTableFieldId="8" dataDxfId="31"/>
    <tableColumn id="9" xr3:uid="{91F9D23E-1137-4A05-AEA7-C6209B2CA234}" uniqueName="9" name="Payment Method" queryTableFieldId="9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09B7B2-E9A9-440B-A61A-EC5928C6ED57}" name="Online_Sales_Data3" displayName="Online_Sales_Data3" ref="A1:J241" tableType="queryTable" totalsRowShown="0" headerRowDxfId="29" dataDxfId="28">
  <autoFilter ref="A1:J241" xr:uid="{3C11C7C0-281C-4AF5-993F-D295D7C77AE3}"/>
  <tableColumns count="10">
    <tableColumn id="1" xr3:uid="{FC843FA4-06B0-44ED-B821-5D3F9A3C619E}" uniqueName="1" name="Transaction ID" queryTableFieldId="1" dataDxfId="27"/>
    <tableColumn id="11" xr3:uid="{C0CF29DA-5C5E-4E37-A6BC-9B80E671DD58}" uniqueName="11" name="Months" queryTableFieldId="11" dataDxfId="26">
      <calculatedColumnFormula>PROPER(TEXT(C2,"MMMM"))</calculatedColumnFormula>
    </tableColumn>
    <tableColumn id="2" xr3:uid="{BDEE7E07-D78D-4676-AEA4-388ACF1EC302}" uniqueName="2" name="Date" queryTableFieldId="2" dataDxfId="25"/>
    <tableColumn id="3" xr3:uid="{6EAA0843-E7F8-4551-8D5F-226ABD998E4D}" uniqueName="3" name="Product Category" queryTableFieldId="3" dataDxfId="24"/>
    <tableColumn id="4" xr3:uid="{B7AD671A-51EB-45C4-AABA-24D91F48464B}" uniqueName="4" name="Product Name" queryTableFieldId="4" dataDxfId="23"/>
    <tableColumn id="5" xr3:uid="{A97458DB-72B8-455B-AAC0-11C8EBDC8B22}" uniqueName="5" name="Units Sold" queryTableFieldId="5" dataDxfId="22"/>
    <tableColumn id="6" xr3:uid="{287527B1-4869-40DF-9D66-DD2524E8A2E3}" uniqueName="6" name="Unit Price" queryTableFieldId="6" dataDxfId="21"/>
    <tableColumn id="7" xr3:uid="{14171934-BB03-4A24-A7DE-8B83A14A46B5}" uniqueName="7" name="Total Revenue" queryTableFieldId="7" dataDxfId="20"/>
    <tableColumn id="8" xr3:uid="{3FA7EC5B-ED96-4FAA-829A-60BF0F789687}" uniqueName="8" name="Region" queryTableFieldId="8" dataDxfId="19"/>
    <tableColumn id="9" xr3:uid="{7024070F-18D4-4CF5-A972-EC4606315674}" uniqueName="9" name="Payment Method" queryTableFieldId="9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CB213-F953-4097-BFB4-8AE2DA1DEC11}" name="Tabela3" displayName="Tabela3" ref="L27:M39" totalsRowShown="0" headerRowDxfId="17" headerRowBorderDxfId="16" tableBorderDxfId="15" totalsRowBorderDxfId="14">
  <autoFilter ref="L27:M39" xr:uid="{8D6CB213-F953-4097-BFB4-8AE2DA1DEC11}"/>
  <tableColumns count="2">
    <tableColumn id="1" xr3:uid="{FC17B37B-FEFC-4A42-ACF4-0E6F15457F80}" name="Meses" dataDxfId="13"/>
    <tableColumn id="2" xr3:uid="{CFD62DFA-BC5A-4372-B04C-4A6F3FF33108}" name="Total Vendas" dataDxfId="1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E63077-258E-4865-AECD-4E602CC676E1}" name="Tabela35" displayName="Tabela35" ref="O27:P31" totalsRowShown="0" headerRowDxfId="11" headerRowBorderDxfId="10" tableBorderDxfId="9" totalsRowBorderDxfId="8">
  <autoFilter ref="O27:P31" xr:uid="{CCE63077-258E-4865-AECD-4E602CC676E1}"/>
  <tableColumns count="2">
    <tableColumn id="1" xr3:uid="{BA66B01B-D6A2-4988-9BEC-EDA865DD8DCA}" name="Categoria" dataDxfId="7"/>
    <tableColumn id="2" xr3:uid="{90F0BEEC-DA4A-432C-9795-361F1F134B5B}" name="Total Vendas" dataDxfId="6">
      <calculatedColumnFormula>SUMIF(D:D,O28,H:H)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A220E2-6377-4174-8018-B58E3C87F002}" name="Tabela356" displayName="Tabela356" ref="O34:P37" totalsRowShown="0" headerRowDxfId="5" headerRowBorderDxfId="4" tableBorderDxfId="3" totalsRowBorderDxfId="2">
  <autoFilter ref="O34:P37" xr:uid="{00A220E2-6377-4174-8018-B58E3C87F002}"/>
  <tableColumns count="2">
    <tableColumn id="1" xr3:uid="{8B6CB9C3-A21B-49E0-88F1-57ED2F4868A6}" name="Categoria" dataDxfId="1"/>
    <tableColumn id="2" xr3:uid="{796A9F56-0270-4117-8068-4F420E2FCBBB}" name="Total Vendas" dataDxfId="0">
      <calculatedColumnFormula>SUMIF(I:I,O35,H:H)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C5CB-5744-4136-BE2E-594D0A59F4C3}">
  <dimension ref="A1:I241"/>
  <sheetViews>
    <sheetView zoomScale="70" zoomScaleNormal="70" workbookViewId="0">
      <selection activeCell="F1" sqref="F1:G1048576"/>
    </sheetView>
  </sheetViews>
  <sheetFormatPr defaultRowHeight="14.5" x14ac:dyDescent="0.35"/>
  <cols>
    <col min="1" max="1" width="15.1796875" bestFit="1" customWidth="1"/>
    <col min="2" max="2" width="10.08984375" bestFit="1" customWidth="1"/>
    <col min="3" max="3" width="17.453125" bestFit="1" customWidth="1"/>
    <col min="4" max="4" width="48.453125" bestFit="1" customWidth="1"/>
    <col min="5" max="5" width="11.6328125" bestFit="1" customWidth="1"/>
    <col min="6" max="6" width="11.26953125" bestFit="1" customWidth="1"/>
    <col min="7" max="7" width="14.81640625" bestFit="1" customWidth="1"/>
    <col min="8" max="8" width="12.453125" bestFit="1" customWidth="1"/>
    <col min="9" max="9" width="17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10001</v>
      </c>
      <c r="B2" s="1">
        <v>45292</v>
      </c>
      <c r="C2" t="s">
        <v>9</v>
      </c>
      <c r="D2" t="s">
        <v>10</v>
      </c>
      <c r="E2">
        <v>2</v>
      </c>
      <c r="F2">
        <v>99999</v>
      </c>
      <c r="G2">
        <v>199998</v>
      </c>
      <c r="H2" t="s">
        <v>11</v>
      </c>
      <c r="I2" t="s">
        <v>12</v>
      </c>
    </row>
    <row r="3" spans="1:9" x14ac:dyDescent="0.35">
      <c r="A3">
        <v>10002</v>
      </c>
      <c r="B3" s="1">
        <v>45293</v>
      </c>
      <c r="C3" t="s">
        <v>13</v>
      </c>
      <c r="D3" t="s">
        <v>14</v>
      </c>
      <c r="E3">
        <v>1</v>
      </c>
      <c r="F3">
        <v>49999</v>
      </c>
      <c r="G3">
        <v>49999</v>
      </c>
      <c r="H3" t="s">
        <v>15</v>
      </c>
      <c r="I3" t="s">
        <v>16</v>
      </c>
    </row>
    <row r="4" spans="1:9" x14ac:dyDescent="0.35">
      <c r="A4">
        <v>10003</v>
      </c>
      <c r="B4" s="1">
        <v>45294</v>
      </c>
      <c r="C4" t="s">
        <v>17</v>
      </c>
      <c r="D4" t="s">
        <v>18</v>
      </c>
      <c r="E4">
        <v>3</v>
      </c>
      <c r="F4">
        <v>6999</v>
      </c>
      <c r="G4">
        <v>20997</v>
      </c>
      <c r="H4" t="s">
        <v>19</v>
      </c>
      <c r="I4" t="s">
        <v>20</v>
      </c>
    </row>
    <row r="5" spans="1:9" x14ac:dyDescent="0.35">
      <c r="A5">
        <v>10004</v>
      </c>
      <c r="B5" s="1">
        <v>45295</v>
      </c>
      <c r="C5" t="s">
        <v>21</v>
      </c>
      <c r="D5" t="s">
        <v>22</v>
      </c>
      <c r="E5">
        <v>4</v>
      </c>
      <c r="F5">
        <v>1599</v>
      </c>
      <c r="G5">
        <v>6396</v>
      </c>
      <c r="H5" t="s">
        <v>11</v>
      </c>
      <c r="I5" t="s">
        <v>12</v>
      </c>
    </row>
    <row r="6" spans="1:9" x14ac:dyDescent="0.35">
      <c r="A6">
        <v>10005</v>
      </c>
      <c r="B6" s="1">
        <v>45296</v>
      </c>
      <c r="C6" t="s">
        <v>23</v>
      </c>
      <c r="D6" t="s">
        <v>24</v>
      </c>
      <c r="E6">
        <v>1</v>
      </c>
      <c r="F6">
        <v>8999</v>
      </c>
      <c r="G6">
        <v>8999</v>
      </c>
      <c r="H6" t="s">
        <v>15</v>
      </c>
      <c r="I6" t="s">
        <v>16</v>
      </c>
    </row>
    <row r="7" spans="1:9" x14ac:dyDescent="0.35">
      <c r="A7">
        <v>10006</v>
      </c>
      <c r="B7" s="1">
        <v>45297</v>
      </c>
      <c r="C7" t="s">
        <v>25</v>
      </c>
      <c r="D7" t="s">
        <v>26</v>
      </c>
      <c r="E7">
        <v>5</v>
      </c>
      <c r="F7">
        <v>2999</v>
      </c>
      <c r="G7">
        <v>14995</v>
      </c>
      <c r="H7" t="s">
        <v>19</v>
      </c>
      <c r="I7" t="s">
        <v>12</v>
      </c>
    </row>
    <row r="8" spans="1:9" x14ac:dyDescent="0.35">
      <c r="A8">
        <v>10007</v>
      </c>
      <c r="B8" s="1">
        <v>45298</v>
      </c>
      <c r="C8" t="s">
        <v>9</v>
      </c>
      <c r="D8" t="s">
        <v>27</v>
      </c>
      <c r="E8">
        <v>1</v>
      </c>
      <c r="F8">
        <v>249999</v>
      </c>
      <c r="G8">
        <v>249999</v>
      </c>
      <c r="H8" t="s">
        <v>11</v>
      </c>
      <c r="I8" t="s">
        <v>12</v>
      </c>
    </row>
    <row r="9" spans="1:9" x14ac:dyDescent="0.35">
      <c r="A9">
        <v>10008</v>
      </c>
      <c r="B9" s="1">
        <v>45299</v>
      </c>
      <c r="C9" t="s">
        <v>13</v>
      </c>
      <c r="D9" t="s">
        <v>28</v>
      </c>
      <c r="E9">
        <v>2</v>
      </c>
      <c r="F9">
        <v>59999</v>
      </c>
      <c r="G9">
        <v>119998</v>
      </c>
      <c r="H9" t="s">
        <v>15</v>
      </c>
      <c r="I9" t="s">
        <v>16</v>
      </c>
    </row>
    <row r="10" spans="1:9" x14ac:dyDescent="0.35">
      <c r="A10">
        <v>10009</v>
      </c>
      <c r="B10" s="1">
        <v>45300</v>
      </c>
      <c r="C10" t="s">
        <v>17</v>
      </c>
      <c r="D10" t="s">
        <v>29</v>
      </c>
      <c r="E10">
        <v>6</v>
      </c>
      <c r="F10">
        <v>8999</v>
      </c>
      <c r="G10">
        <v>53994</v>
      </c>
      <c r="H10" t="s">
        <v>19</v>
      </c>
      <c r="I10" t="s">
        <v>20</v>
      </c>
    </row>
    <row r="11" spans="1:9" x14ac:dyDescent="0.35">
      <c r="A11">
        <v>10010</v>
      </c>
      <c r="B11" s="1">
        <v>45301</v>
      </c>
      <c r="C11" t="s">
        <v>21</v>
      </c>
      <c r="D11" t="s">
        <v>30</v>
      </c>
      <c r="E11">
        <v>2</v>
      </c>
      <c r="F11">
        <v>2599</v>
      </c>
      <c r="G11">
        <v>5198</v>
      </c>
      <c r="H11" t="s">
        <v>11</v>
      </c>
      <c r="I11" t="s">
        <v>12</v>
      </c>
    </row>
    <row r="12" spans="1:9" x14ac:dyDescent="0.35">
      <c r="A12">
        <v>10011</v>
      </c>
      <c r="B12" s="1">
        <v>45302</v>
      </c>
      <c r="C12" t="s">
        <v>23</v>
      </c>
      <c r="D12" t="s">
        <v>31</v>
      </c>
      <c r="E12">
        <v>1</v>
      </c>
      <c r="F12">
        <v>12999</v>
      </c>
      <c r="G12">
        <v>12999</v>
      </c>
      <c r="H12" t="s">
        <v>15</v>
      </c>
      <c r="I12" t="s">
        <v>16</v>
      </c>
    </row>
    <row r="13" spans="1:9" x14ac:dyDescent="0.35">
      <c r="A13">
        <v>10012</v>
      </c>
      <c r="B13" s="1">
        <v>45303</v>
      </c>
      <c r="C13" t="s">
        <v>25</v>
      </c>
      <c r="D13" t="s">
        <v>32</v>
      </c>
      <c r="E13">
        <v>3</v>
      </c>
      <c r="F13">
        <v>19999</v>
      </c>
      <c r="G13">
        <v>59997</v>
      </c>
      <c r="H13" t="s">
        <v>19</v>
      </c>
      <c r="I13" t="s">
        <v>12</v>
      </c>
    </row>
    <row r="14" spans="1:9" x14ac:dyDescent="0.35">
      <c r="A14">
        <v>10013</v>
      </c>
      <c r="B14" s="1">
        <v>45304</v>
      </c>
      <c r="C14" t="s">
        <v>9</v>
      </c>
      <c r="D14" t="s">
        <v>33</v>
      </c>
      <c r="E14">
        <v>2</v>
      </c>
      <c r="F14">
        <v>74999</v>
      </c>
      <c r="G14">
        <v>149998</v>
      </c>
      <c r="H14" t="s">
        <v>11</v>
      </c>
      <c r="I14" t="s">
        <v>12</v>
      </c>
    </row>
    <row r="15" spans="1:9" x14ac:dyDescent="0.35">
      <c r="A15">
        <v>10014</v>
      </c>
      <c r="B15" s="1">
        <v>45305</v>
      </c>
      <c r="C15" t="s">
        <v>13</v>
      </c>
      <c r="D15" t="s">
        <v>34</v>
      </c>
      <c r="E15">
        <v>1</v>
      </c>
      <c r="F15">
        <v>18999</v>
      </c>
      <c r="G15">
        <v>18999</v>
      </c>
      <c r="H15" t="s">
        <v>15</v>
      </c>
      <c r="I15" t="s">
        <v>16</v>
      </c>
    </row>
    <row r="16" spans="1:9" x14ac:dyDescent="0.35">
      <c r="A16">
        <v>10015</v>
      </c>
      <c r="B16" s="1">
        <v>45306</v>
      </c>
      <c r="C16" t="s">
        <v>17</v>
      </c>
      <c r="D16" t="s">
        <v>35</v>
      </c>
      <c r="E16">
        <v>2</v>
      </c>
      <c r="F16">
        <v>24999</v>
      </c>
      <c r="G16">
        <v>49998</v>
      </c>
      <c r="H16" t="s">
        <v>19</v>
      </c>
      <c r="I16" t="s">
        <v>20</v>
      </c>
    </row>
    <row r="17" spans="1:9" x14ac:dyDescent="0.35">
      <c r="A17">
        <v>10016</v>
      </c>
      <c r="B17" s="1">
        <v>45307</v>
      </c>
      <c r="C17" t="s">
        <v>21</v>
      </c>
      <c r="D17" t="s">
        <v>36</v>
      </c>
      <c r="E17">
        <v>3</v>
      </c>
      <c r="F17">
        <v>3599</v>
      </c>
      <c r="G17">
        <v>10797</v>
      </c>
      <c r="H17" t="s">
        <v>11</v>
      </c>
      <c r="I17" t="s">
        <v>12</v>
      </c>
    </row>
    <row r="18" spans="1:9" x14ac:dyDescent="0.35">
      <c r="A18">
        <v>10017</v>
      </c>
      <c r="B18" s="1">
        <v>45308</v>
      </c>
      <c r="C18" t="s">
        <v>23</v>
      </c>
      <c r="D18" t="s">
        <v>37</v>
      </c>
      <c r="E18">
        <v>1</v>
      </c>
      <c r="F18">
        <v>39999</v>
      </c>
      <c r="G18">
        <v>39999</v>
      </c>
      <c r="H18" t="s">
        <v>15</v>
      </c>
      <c r="I18" t="s">
        <v>16</v>
      </c>
    </row>
    <row r="19" spans="1:9" x14ac:dyDescent="0.35">
      <c r="A19">
        <v>10018</v>
      </c>
      <c r="B19" s="1">
        <v>45309</v>
      </c>
      <c r="C19" t="s">
        <v>25</v>
      </c>
      <c r="D19" t="s">
        <v>38</v>
      </c>
      <c r="E19">
        <v>4</v>
      </c>
      <c r="F19">
        <v>11999</v>
      </c>
      <c r="G19">
        <v>47996</v>
      </c>
      <c r="H19" t="s">
        <v>19</v>
      </c>
      <c r="I19" t="s">
        <v>12</v>
      </c>
    </row>
    <row r="20" spans="1:9" x14ac:dyDescent="0.35">
      <c r="A20">
        <v>10019</v>
      </c>
      <c r="B20" s="1">
        <v>45310</v>
      </c>
      <c r="C20" t="s">
        <v>9</v>
      </c>
      <c r="D20" t="s">
        <v>39</v>
      </c>
      <c r="E20">
        <v>2</v>
      </c>
      <c r="F20">
        <v>49999</v>
      </c>
      <c r="G20">
        <v>99998</v>
      </c>
      <c r="H20" t="s">
        <v>11</v>
      </c>
      <c r="I20" t="s">
        <v>12</v>
      </c>
    </row>
    <row r="21" spans="1:9" x14ac:dyDescent="0.35">
      <c r="A21">
        <v>10020</v>
      </c>
      <c r="B21" s="1">
        <v>45311</v>
      </c>
      <c r="C21" t="s">
        <v>13</v>
      </c>
      <c r="D21" t="s">
        <v>40</v>
      </c>
      <c r="E21">
        <v>1</v>
      </c>
      <c r="F21">
        <v>9999</v>
      </c>
      <c r="G21">
        <v>9999</v>
      </c>
      <c r="H21" t="s">
        <v>15</v>
      </c>
      <c r="I21" t="s">
        <v>16</v>
      </c>
    </row>
    <row r="22" spans="1:9" x14ac:dyDescent="0.35">
      <c r="A22">
        <v>10021</v>
      </c>
      <c r="B22" s="1">
        <v>45312</v>
      </c>
      <c r="C22" t="s">
        <v>17</v>
      </c>
      <c r="D22" t="s">
        <v>41</v>
      </c>
      <c r="E22">
        <v>3</v>
      </c>
      <c r="F22">
        <v>5999</v>
      </c>
      <c r="G22">
        <v>17997</v>
      </c>
      <c r="H22" t="s">
        <v>19</v>
      </c>
      <c r="I22" t="s">
        <v>20</v>
      </c>
    </row>
    <row r="23" spans="1:9" x14ac:dyDescent="0.35">
      <c r="A23">
        <v>10022</v>
      </c>
      <c r="B23" s="1">
        <v>45313</v>
      </c>
      <c r="C23" t="s">
        <v>21</v>
      </c>
      <c r="D23" t="s">
        <v>42</v>
      </c>
      <c r="E23">
        <v>2</v>
      </c>
      <c r="F23">
        <v>2299</v>
      </c>
      <c r="G23">
        <v>4598</v>
      </c>
      <c r="H23" t="s">
        <v>11</v>
      </c>
      <c r="I23" t="s">
        <v>12</v>
      </c>
    </row>
    <row r="24" spans="1:9" x14ac:dyDescent="0.35">
      <c r="A24">
        <v>10023</v>
      </c>
      <c r="B24" s="1">
        <v>45314</v>
      </c>
      <c r="C24" t="s">
        <v>23</v>
      </c>
      <c r="D24" t="s">
        <v>43</v>
      </c>
      <c r="E24">
        <v>1</v>
      </c>
      <c r="F24">
        <v>4999</v>
      </c>
      <c r="G24">
        <v>4999</v>
      </c>
      <c r="H24" t="s">
        <v>15</v>
      </c>
      <c r="I24" t="s">
        <v>16</v>
      </c>
    </row>
    <row r="25" spans="1:9" x14ac:dyDescent="0.35">
      <c r="A25">
        <v>10024</v>
      </c>
      <c r="B25" s="1">
        <v>45315</v>
      </c>
      <c r="C25" t="s">
        <v>25</v>
      </c>
      <c r="D25" t="s">
        <v>44</v>
      </c>
      <c r="E25">
        <v>3</v>
      </c>
      <c r="F25">
        <v>2999</v>
      </c>
      <c r="G25">
        <v>8997</v>
      </c>
      <c r="H25" t="s">
        <v>19</v>
      </c>
      <c r="I25" t="s">
        <v>12</v>
      </c>
    </row>
    <row r="26" spans="1:9" x14ac:dyDescent="0.35">
      <c r="A26">
        <v>10025</v>
      </c>
      <c r="B26" s="1">
        <v>45316</v>
      </c>
      <c r="C26" t="s">
        <v>9</v>
      </c>
      <c r="D26" t="s">
        <v>45</v>
      </c>
      <c r="E26">
        <v>1</v>
      </c>
      <c r="F26">
        <v>29999</v>
      </c>
      <c r="G26">
        <v>29999</v>
      </c>
      <c r="H26" t="s">
        <v>11</v>
      </c>
      <c r="I26" t="s">
        <v>12</v>
      </c>
    </row>
    <row r="27" spans="1:9" x14ac:dyDescent="0.35">
      <c r="A27">
        <v>10026</v>
      </c>
      <c r="B27" s="1">
        <v>45317</v>
      </c>
      <c r="C27" t="s">
        <v>13</v>
      </c>
      <c r="D27" t="s">
        <v>46</v>
      </c>
      <c r="E27">
        <v>1</v>
      </c>
      <c r="F27">
        <v>17999</v>
      </c>
      <c r="G27">
        <v>17999</v>
      </c>
      <c r="H27" t="s">
        <v>15</v>
      </c>
      <c r="I27" t="s">
        <v>16</v>
      </c>
    </row>
    <row r="28" spans="1:9" x14ac:dyDescent="0.35">
      <c r="A28">
        <v>10027</v>
      </c>
      <c r="B28" s="1">
        <v>45318</v>
      </c>
      <c r="C28" t="s">
        <v>17</v>
      </c>
      <c r="D28" t="s">
        <v>47</v>
      </c>
      <c r="E28">
        <v>2</v>
      </c>
      <c r="F28">
        <v>17999</v>
      </c>
      <c r="G28">
        <v>35998</v>
      </c>
      <c r="H28" t="s">
        <v>19</v>
      </c>
      <c r="I28" t="s">
        <v>20</v>
      </c>
    </row>
    <row r="29" spans="1:9" x14ac:dyDescent="0.35">
      <c r="A29">
        <v>10028</v>
      </c>
      <c r="B29" s="1">
        <v>45319</v>
      </c>
      <c r="C29" t="s">
        <v>21</v>
      </c>
      <c r="D29" t="s">
        <v>48</v>
      </c>
      <c r="E29">
        <v>3</v>
      </c>
      <c r="F29">
        <v>1299</v>
      </c>
      <c r="G29">
        <v>3897</v>
      </c>
      <c r="H29" t="s">
        <v>11</v>
      </c>
      <c r="I29" t="s">
        <v>12</v>
      </c>
    </row>
    <row r="30" spans="1:9" x14ac:dyDescent="0.35">
      <c r="A30">
        <v>10029</v>
      </c>
      <c r="B30" s="1">
        <v>45320</v>
      </c>
      <c r="C30" t="s">
        <v>23</v>
      </c>
      <c r="D30" t="s">
        <v>49</v>
      </c>
      <c r="E30">
        <v>1</v>
      </c>
      <c r="F30">
        <v>2999</v>
      </c>
      <c r="G30">
        <v>2999</v>
      </c>
      <c r="H30" t="s">
        <v>15</v>
      </c>
      <c r="I30" t="s">
        <v>16</v>
      </c>
    </row>
    <row r="31" spans="1:9" x14ac:dyDescent="0.35">
      <c r="A31">
        <v>10030</v>
      </c>
      <c r="B31" s="1">
        <v>45321</v>
      </c>
      <c r="C31" t="s">
        <v>25</v>
      </c>
      <c r="D31" t="s">
        <v>50</v>
      </c>
      <c r="E31">
        <v>2</v>
      </c>
      <c r="F31">
        <v>12999</v>
      </c>
      <c r="G31">
        <v>25998</v>
      </c>
      <c r="H31" t="s">
        <v>19</v>
      </c>
      <c r="I31" t="s">
        <v>12</v>
      </c>
    </row>
    <row r="32" spans="1:9" x14ac:dyDescent="0.35">
      <c r="A32">
        <v>10031</v>
      </c>
      <c r="B32" s="1">
        <v>45322</v>
      </c>
      <c r="C32" t="s">
        <v>9</v>
      </c>
      <c r="D32" t="s">
        <v>51</v>
      </c>
      <c r="E32">
        <v>2</v>
      </c>
      <c r="F32">
        <v>34999</v>
      </c>
      <c r="G32">
        <v>69998</v>
      </c>
      <c r="H32" t="s">
        <v>11</v>
      </c>
      <c r="I32" t="s">
        <v>12</v>
      </c>
    </row>
    <row r="33" spans="1:9" x14ac:dyDescent="0.35">
      <c r="A33">
        <v>10032</v>
      </c>
      <c r="B33" s="1">
        <v>45323</v>
      </c>
      <c r="C33" t="s">
        <v>13</v>
      </c>
      <c r="D33" t="s">
        <v>52</v>
      </c>
      <c r="E33">
        <v>3</v>
      </c>
      <c r="F33">
        <v>8999</v>
      </c>
      <c r="G33">
        <v>26997</v>
      </c>
      <c r="H33" t="s">
        <v>15</v>
      </c>
      <c r="I33" t="s">
        <v>16</v>
      </c>
    </row>
    <row r="34" spans="1:9" x14ac:dyDescent="0.35">
      <c r="A34">
        <v>10033</v>
      </c>
      <c r="B34" s="1">
        <v>45324</v>
      </c>
      <c r="C34" t="s">
        <v>17</v>
      </c>
      <c r="D34" t="s">
        <v>53</v>
      </c>
      <c r="E34">
        <v>5</v>
      </c>
      <c r="F34">
        <v>2999</v>
      </c>
      <c r="G34">
        <v>14995</v>
      </c>
      <c r="H34" t="s">
        <v>19</v>
      </c>
      <c r="I34" t="s">
        <v>20</v>
      </c>
    </row>
    <row r="35" spans="1:9" x14ac:dyDescent="0.35">
      <c r="A35">
        <v>10034</v>
      </c>
      <c r="B35" s="1">
        <v>45325</v>
      </c>
      <c r="C35" t="s">
        <v>21</v>
      </c>
      <c r="D35" t="s">
        <v>54</v>
      </c>
      <c r="E35">
        <v>4</v>
      </c>
      <c r="F35">
        <v>1999</v>
      </c>
      <c r="G35">
        <v>7996</v>
      </c>
      <c r="H35" t="s">
        <v>11</v>
      </c>
      <c r="I35" t="s">
        <v>12</v>
      </c>
    </row>
    <row r="36" spans="1:9" x14ac:dyDescent="0.35">
      <c r="A36">
        <v>10035</v>
      </c>
      <c r="B36" s="1">
        <v>45326</v>
      </c>
      <c r="C36" t="s">
        <v>23</v>
      </c>
      <c r="D36" t="s">
        <v>55</v>
      </c>
      <c r="E36">
        <v>2</v>
      </c>
      <c r="F36">
        <v>3999</v>
      </c>
      <c r="G36">
        <v>7998</v>
      </c>
      <c r="H36" t="s">
        <v>15</v>
      </c>
      <c r="I36" t="s">
        <v>16</v>
      </c>
    </row>
    <row r="37" spans="1:9" x14ac:dyDescent="0.35">
      <c r="A37">
        <v>10036</v>
      </c>
      <c r="B37" s="1">
        <v>45327</v>
      </c>
      <c r="C37" t="s">
        <v>25</v>
      </c>
      <c r="D37" t="s">
        <v>56</v>
      </c>
      <c r="E37">
        <v>1</v>
      </c>
      <c r="F37">
        <v>1895</v>
      </c>
      <c r="G37">
        <v>1895</v>
      </c>
      <c r="H37" t="s">
        <v>19</v>
      </c>
      <c r="I37" t="s">
        <v>12</v>
      </c>
    </row>
    <row r="38" spans="1:9" x14ac:dyDescent="0.35">
      <c r="A38">
        <v>10037</v>
      </c>
      <c r="B38" s="1">
        <v>45328</v>
      </c>
      <c r="C38" t="s">
        <v>9</v>
      </c>
      <c r="D38" t="s">
        <v>57</v>
      </c>
      <c r="E38">
        <v>3</v>
      </c>
      <c r="F38">
        <v>39999</v>
      </c>
      <c r="G38">
        <v>119997</v>
      </c>
      <c r="H38" t="s">
        <v>11</v>
      </c>
      <c r="I38" t="s">
        <v>12</v>
      </c>
    </row>
    <row r="39" spans="1:9" x14ac:dyDescent="0.35">
      <c r="A39">
        <v>10038</v>
      </c>
      <c r="B39" s="1">
        <v>45329</v>
      </c>
      <c r="C39" t="s">
        <v>13</v>
      </c>
      <c r="D39" t="s">
        <v>58</v>
      </c>
      <c r="E39">
        <v>2</v>
      </c>
      <c r="F39">
        <v>79999</v>
      </c>
      <c r="G39">
        <v>159998</v>
      </c>
      <c r="H39" t="s">
        <v>15</v>
      </c>
      <c r="I39" t="s">
        <v>16</v>
      </c>
    </row>
    <row r="40" spans="1:9" x14ac:dyDescent="0.35">
      <c r="A40">
        <v>10039</v>
      </c>
      <c r="B40" s="1">
        <v>45330</v>
      </c>
      <c r="C40" t="s">
        <v>17</v>
      </c>
      <c r="D40" t="s">
        <v>59</v>
      </c>
      <c r="E40">
        <v>4</v>
      </c>
      <c r="F40">
        <v>5999</v>
      </c>
      <c r="G40">
        <v>23996</v>
      </c>
      <c r="H40" t="s">
        <v>19</v>
      </c>
      <c r="I40" t="s">
        <v>20</v>
      </c>
    </row>
    <row r="41" spans="1:9" x14ac:dyDescent="0.35">
      <c r="A41">
        <v>10040</v>
      </c>
      <c r="B41" s="1">
        <v>45331</v>
      </c>
      <c r="C41" t="s">
        <v>21</v>
      </c>
      <c r="D41" t="s">
        <v>60</v>
      </c>
      <c r="E41">
        <v>3</v>
      </c>
      <c r="F41">
        <v>2499</v>
      </c>
      <c r="G41">
        <v>7497</v>
      </c>
      <c r="H41" t="s">
        <v>11</v>
      </c>
      <c r="I41" t="s">
        <v>12</v>
      </c>
    </row>
    <row r="42" spans="1:9" x14ac:dyDescent="0.35">
      <c r="A42">
        <v>10041</v>
      </c>
      <c r="B42" s="1">
        <v>45332</v>
      </c>
      <c r="C42" t="s">
        <v>23</v>
      </c>
      <c r="D42" t="s">
        <v>61</v>
      </c>
      <c r="E42">
        <v>1</v>
      </c>
      <c r="F42">
        <v>105</v>
      </c>
      <c r="G42">
        <v>105</v>
      </c>
      <c r="H42" t="s">
        <v>15</v>
      </c>
      <c r="I42" t="s">
        <v>16</v>
      </c>
    </row>
    <row r="43" spans="1:9" x14ac:dyDescent="0.35">
      <c r="A43">
        <v>10042</v>
      </c>
      <c r="B43" s="1">
        <v>45333</v>
      </c>
      <c r="C43" t="s">
        <v>25</v>
      </c>
      <c r="D43" t="s">
        <v>62</v>
      </c>
      <c r="E43">
        <v>2</v>
      </c>
      <c r="F43">
        <v>12999</v>
      </c>
      <c r="G43">
        <v>25998</v>
      </c>
      <c r="H43" t="s">
        <v>19</v>
      </c>
      <c r="I43" t="s">
        <v>12</v>
      </c>
    </row>
    <row r="44" spans="1:9" x14ac:dyDescent="0.35">
      <c r="A44">
        <v>10043</v>
      </c>
      <c r="B44" s="1">
        <v>45334</v>
      </c>
      <c r="C44" t="s">
        <v>9</v>
      </c>
      <c r="D44" t="s">
        <v>63</v>
      </c>
      <c r="E44">
        <v>3</v>
      </c>
      <c r="F44">
        <v>39999</v>
      </c>
      <c r="G44">
        <v>119997</v>
      </c>
      <c r="H44" t="s">
        <v>11</v>
      </c>
      <c r="I44" t="s">
        <v>12</v>
      </c>
    </row>
    <row r="45" spans="1:9" x14ac:dyDescent="0.35">
      <c r="A45">
        <v>10044</v>
      </c>
      <c r="B45" s="1">
        <v>45335</v>
      </c>
      <c r="C45" t="s">
        <v>13</v>
      </c>
      <c r="D45" t="s">
        <v>64</v>
      </c>
      <c r="E45">
        <v>1</v>
      </c>
      <c r="F45">
        <v>19999</v>
      </c>
      <c r="G45">
        <v>19999</v>
      </c>
      <c r="H45" t="s">
        <v>15</v>
      </c>
      <c r="I45" t="s">
        <v>16</v>
      </c>
    </row>
    <row r="46" spans="1:9" x14ac:dyDescent="0.35">
      <c r="A46">
        <v>10045</v>
      </c>
      <c r="B46" s="1">
        <v>45336</v>
      </c>
      <c r="C46" t="s">
        <v>17</v>
      </c>
      <c r="D46" t="s">
        <v>65</v>
      </c>
      <c r="E46">
        <v>2</v>
      </c>
      <c r="F46">
        <v>13999</v>
      </c>
      <c r="G46">
        <v>27998</v>
      </c>
      <c r="H46" t="s">
        <v>19</v>
      </c>
      <c r="I46" t="s">
        <v>20</v>
      </c>
    </row>
    <row r="47" spans="1:9" x14ac:dyDescent="0.35">
      <c r="A47">
        <v>10046</v>
      </c>
      <c r="B47" s="1">
        <v>45337</v>
      </c>
      <c r="C47" t="s">
        <v>21</v>
      </c>
      <c r="D47" t="s">
        <v>66</v>
      </c>
      <c r="E47">
        <v>4</v>
      </c>
      <c r="F47">
        <v>325</v>
      </c>
      <c r="G47">
        <v>130</v>
      </c>
      <c r="H47" t="s">
        <v>11</v>
      </c>
      <c r="I47" t="s">
        <v>12</v>
      </c>
    </row>
    <row r="48" spans="1:9" x14ac:dyDescent="0.35">
      <c r="A48">
        <v>10047</v>
      </c>
      <c r="B48" s="1">
        <v>45338</v>
      </c>
      <c r="C48" t="s">
        <v>23</v>
      </c>
      <c r="D48" t="s">
        <v>67</v>
      </c>
      <c r="E48">
        <v>1</v>
      </c>
      <c r="F48">
        <v>52</v>
      </c>
      <c r="G48">
        <v>52</v>
      </c>
      <c r="H48" t="s">
        <v>15</v>
      </c>
      <c r="I48" t="s">
        <v>16</v>
      </c>
    </row>
    <row r="49" spans="1:9" x14ac:dyDescent="0.35">
      <c r="A49">
        <v>10048</v>
      </c>
      <c r="B49" s="1">
        <v>45339</v>
      </c>
      <c r="C49" t="s">
        <v>25</v>
      </c>
      <c r="D49" t="s">
        <v>68</v>
      </c>
      <c r="E49">
        <v>6</v>
      </c>
      <c r="F49">
        <v>3999</v>
      </c>
      <c r="G49">
        <v>23994</v>
      </c>
      <c r="H49" t="s">
        <v>19</v>
      </c>
      <c r="I49" t="s">
        <v>12</v>
      </c>
    </row>
    <row r="50" spans="1:9" x14ac:dyDescent="0.35">
      <c r="A50">
        <v>10049</v>
      </c>
      <c r="B50" s="1">
        <v>45340</v>
      </c>
      <c r="C50" t="s">
        <v>9</v>
      </c>
      <c r="D50" t="s">
        <v>69</v>
      </c>
      <c r="E50">
        <v>2</v>
      </c>
      <c r="F50">
        <v>12999</v>
      </c>
      <c r="G50">
        <v>25998</v>
      </c>
      <c r="H50" t="s">
        <v>11</v>
      </c>
      <c r="I50" t="s">
        <v>12</v>
      </c>
    </row>
    <row r="51" spans="1:9" x14ac:dyDescent="0.35">
      <c r="A51">
        <v>10050</v>
      </c>
      <c r="B51" s="1">
        <v>45341</v>
      </c>
      <c r="C51" t="s">
        <v>13</v>
      </c>
      <c r="D51" t="s">
        <v>70</v>
      </c>
      <c r="E51">
        <v>1</v>
      </c>
      <c r="F51">
        <v>29999</v>
      </c>
      <c r="G51">
        <v>29999</v>
      </c>
      <c r="H51" t="s">
        <v>15</v>
      </c>
      <c r="I51" t="s">
        <v>16</v>
      </c>
    </row>
    <row r="52" spans="1:9" x14ac:dyDescent="0.35">
      <c r="A52">
        <v>10051</v>
      </c>
      <c r="B52" s="1">
        <v>45342</v>
      </c>
      <c r="C52" t="s">
        <v>17</v>
      </c>
      <c r="D52" t="s">
        <v>71</v>
      </c>
      <c r="E52">
        <v>3</v>
      </c>
      <c r="F52">
        <v>15499</v>
      </c>
      <c r="G52">
        <v>46497</v>
      </c>
      <c r="H52" t="s">
        <v>19</v>
      </c>
      <c r="I52" t="s">
        <v>20</v>
      </c>
    </row>
    <row r="53" spans="1:9" x14ac:dyDescent="0.35">
      <c r="A53">
        <v>10052</v>
      </c>
      <c r="B53" s="1">
        <v>45343</v>
      </c>
      <c r="C53" t="s">
        <v>21</v>
      </c>
      <c r="D53" t="s">
        <v>72</v>
      </c>
      <c r="E53">
        <v>2</v>
      </c>
      <c r="F53">
        <v>2699</v>
      </c>
      <c r="G53">
        <v>5398</v>
      </c>
      <c r="H53" t="s">
        <v>11</v>
      </c>
      <c r="I53" t="s">
        <v>12</v>
      </c>
    </row>
    <row r="54" spans="1:9" x14ac:dyDescent="0.35">
      <c r="A54">
        <v>10053</v>
      </c>
      <c r="B54" s="1">
        <v>45344</v>
      </c>
      <c r="C54" t="s">
        <v>23</v>
      </c>
      <c r="D54" t="s">
        <v>73</v>
      </c>
      <c r="E54">
        <v>1</v>
      </c>
      <c r="F54">
        <v>49</v>
      </c>
      <c r="G54">
        <v>49</v>
      </c>
      <c r="H54" t="s">
        <v>15</v>
      </c>
      <c r="I54" t="s">
        <v>16</v>
      </c>
    </row>
    <row r="55" spans="1:9" x14ac:dyDescent="0.35">
      <c r="A55">
        <v>10054</v>
      </c>
      <c r="B55" s="1">
        <v>45345</v>
      </c>
      <c r="C55" t="s">
        <v>25</v>
      </c>
      <c r="D55" t="s">
        <v>74</v>
      </c>
      <c r="E55">
        <v>5</v>
      </c>
      <c r="F55">
        <v>4999</v>
      </c>
      <c r="G55">
        <v>24995</v>
      </c>
      <c r="H55" t="s">
        <v>19</v>
      </c>
      <c r="I55" t="s">
        <v>12</v>
      </c>
    </row>
    <row r="56" spans="1:9" x14ac:dyDescent="0.35">
      <c r="A56">
        <v>10055</v>
      </c>
      <c r="B56" s="1">
        <v>45346</v>
      </c>
      <c r="C56" t="s">
        <v>9</v>
      </c>
      <c r="D56" t="s">
        <v>75</v>
      </c>
      <c r="E56">
        <v>4</v>
      </c>
      <c r="F56">
        <v>5999</v>
      </c>
      <c r="G56">
        <v>23996</v>
      </c>
      <c r="H56" t="s">
        <v>11</v>
      </c>
      <c r="I56" t="s">
        <v>12</v>
      </c>
    </row>
    <row r="57" spans="1:9" x14ac:dyDescent="0.35">
      <c r="A57">
        <v>10056</v>
      </c>
      <c r="B57" s="1">
        <v>45347</v>
      </c>
      <c r="C57" t="s">
        <v>13</v>
      </c>
      <c r="D57" t="s">
        <v>76</v>
      </c>
      <c r="E57">
        <v>1</v>
      </c>
      <c r="F57">
        <v>49999</v>
      </c>
      <c r="G57">
        <v>49999</v>
      </c>
      <c r="H57" t="s">
        <v>15</v>
      </c>
      <c r="I57" t="s">
        <v>16</v>
      </c>
    </row>
    <row r="58" spans="1:9" x14ac:dyDescent="0.35">
      <c r="A58">
        <v>10057</v>
      </c>
      <c r="B58" s="1">
        <v>45348</v>
      </c>
      <c r="C58" t="s">
        <v>17</v>
      </c>
      <c r="D58" t="s">
        <v>77</v>
      </c>
      <c r="E58">
        <v>5</v>
      </c>
      <c r="F58">
        <v>2999</v>
      </c>
      <c r="G58">
        <v>14995</v>
      </c>
      <c r="H58" t="s">
        <v>19</v>
      </c>
      <c r="I58" t="s">
        <v>20</v>
      </c>
    </row>
    <row r="59" spans="1:9" x14ac:dyDescent="0.35">
      <c r="A59">
        <v>10058</v>
      </c>
      <c r="B59" s="1">
        <v>45349</v>
      </c>
      <c r="C59" t="s">
        <v>21</v>
      </c>
      <c r="D59" t="s">
        <v>78</v>
      </c>
      <c r="E59">
        <v>3</v>
      </c>
      <c r="F59">
        <v>28</v>
      </c>
      <c r="G59">
        <v>84</v>
      </c>
      <c r="H59" t="s">
        <v>11</v>
      </c>
      <c r="I59" t="s">
        <v>12</v>
      </c>
    </row>
    <row r="60" spans="1:9" x14ac:dyDescent="0.35">
      <c r="A60">
        <v>10059</v>
      </c>
      <c r="B60" s="1">
        <v>45350</v>
      </c>
      <c r="C60" t="s">
        <v>23</v>
      </c>
      <c r="D60" t="s">
        <v>79</v>
      </c>
      <c r="E60">
        <v>2</v>
      </c>
      <c r="F60">
        <v>23</v>
      </c>
      <c r="G60">
        <v>46</v>
      </c>
      <c r="H60" t="s">
        <v>15</v>
      </c>
      <c r="I60" t="s">
        <v>16</v>
      </c>
    </row>
    <row r="61" spans="1:9" x14ac:dyDescent="0.35">
      <c r="A61">
        <v>10060</v>
      </c>
      <c r="B61" s="1">
        <v>45351</v>
      </c>
      <c r="C61" t="s">
        <v>25</v>
      </c>
      <c r="D61" t="s">
        <v>80</v>
      </c>
      <c r="E61">
        <v>1</v>
      </c>
      <c r="F61">
        <v>349</v>
      </c>
      <c r="G61">
        <v>349</v>
      </c>
      <c r="H61" t="s">
        <v>19</v>
      </c>
      <c r="I61" t="s">
        <v>12</v>
      </c>
    </row>
    <row r="62" spans="1:9" x14ac:dyDescent="0.35">
      <c r="A62">
        <v>10061</v>
      </c>
      <c r="B62" s="1">
        <v>45352</v>
      </c>
      <c r="C62" t="s">
        <v>9</v>
      </c>
      <c r="D62" t="s">
        <v>81</v>
      </c>
      <c r="E62">
        <v>3</v>
      </c>
      <c r="F62">
        <v>29999</v>
      </c>
      <c r="G62">
        <v>89997</v>
      </c>
      <c r="H62" t="s">
        <v>11</v>
      </c>
      <c r="I62" t="s">
        <v>12</v>
      </c>
    </row>
    <row r="63" spans="1:9" x14ac:dyDescent="0.35">
      <c r="A63">
        <v>10062</v>
      </c>
      <c r="B63" s="1">
        <v>45353</v>
      </c>
      <c r="C63" t="s">
        <v>13</v>
      </c>
      <c r="D63" t="s">
        <v>82</v>
      </c>
      <c r="E63">
        <v>2</v>
      </c>
      <c r="F63">
        <v>19999</v>
      </c>
      <c r="G63">
        <v>39998</v>
      </c>
      <c r="H63" t="s">
        <v>15</v>
      </c>
      <c r="I63" t="s">
        <v>16</v>
      </c>
    </row>
    <row r="64" spans="1:9" x14ac:dyDescent="0.35">
      <c r="A64">
        <v>10063</v>
      </c>
      <c r="B64" s="1">
        <v>45354</v>
      </c>
      <c r="C64" t="s">
        <v>17</v>
      </c>
      <c r="D64" t="s">
        <v>83</v>
      </c>
      <c r="E64">
        <v>10</v>
      </c>
      <c r="F64">
        <v>999</v>
      </c>
      <c r="G64">
        <v>999</v>
      </c>
      <c r="H64" t="s">
        <v>19</v>
      </c>
      <c r="I64" t="s">
        <v>20</v>
      </c>
    </row>
    <row r="65" spans="1:9" x14ac:dyDescent="0.35">
      <c r="A65">
        <v>10064</v>
      </c>
      <c r="B65" s="1">
        <v>45355</v>
      </c>
      <c r="C65" t="s">
        <v>21</v>
      </c>
      <c r="D65" t="s">
        <v>84</v>
      </c>
      <c r="E65">
        <v>4</v>
      </c>
      <c r="F65">
        <v>1899</v>
      </c>
      <c r="G65">
        <v>7596</v>
      </c>
      <c r="H65" t="s">
        <v>11</v>
      </c>
      <c r="I65" t="s">
        <v>12</v>
      </c>
    </row>
    <row r="66" spans="1:9" x14ac:dyDescent="0.35">
      <c r="A66">
        <v>10065</v>
      </c>
      <c r="B66" s="1">
        <v>45356</v>
      </c>
      <c r="C66" t="s">
        <v>23</v>
      </c>
      <c r="D66" t="s">
        <v>85</v>
      </c>
      <c r="E66">
        <v>1</v>
      </c>
      <c r="F66">
        <v>102</v>
      </c>
      <c r="G66">
        <v>102</v>
      </c>
      <c r="H66" t="s">
        <v>15</v>
      </c>
      <c r="I66" t="s">
        <v>16</v>
      </c>
    </row>
    <row r="67" spans="1:9" x14ac:dyDescent="0.35">
      <c r="A67">
        <v>10066</v>
      </c>
      <c r="B67" s="1">
        <v>45357</v>
      </c>
      <c r="C67" t="s">
        <v>25</v>
      </c>
      <c r="D67" t="s">
        <v>86</v>
      </c>
      <c r="E67">
        <v>2</v>
      </c>
      <c r="F67">
        <v>29999</v>
      </c>
      <c r="G67">
        <v>59998</v>
      </c>
      <c r="H67" t="s">
        <v>19</v>
      </c>
      <c r="I67" t="s">
        <v>12</v>
      </c>
    </row>
    <row r="68" spans="1:9" x14ac:dyDescent="0.35">
      <c r="A68">
        <v>10067</v>
      </c>
      <c r="B68" s="1">
        <v>45358</v>
      </c>
      <c r="C68" t="s">
        <v>9</v>
      </c>
      <c r="D68" t="s">
        <v>87</v>
      </c>
      <c r="E68">
        <v>1</v>
      </c>
      <c r="F68">
        <v>119999</v>
      </c>
      <c r="G68">
        <v>119999</v>
      </c>
      <c r="H68" t="s">
        <v>11</v>
      </c>
      <c r="I68" t="s">
        <v>12</v>
      </c>
    </row>
    <row r="69" spans="1:9" x14ac:dyDescent="0.35">
      <c r="A69">
        <v>10068</v>
      </c>
      <c r="B69" s="1">
        <v>45359</v>
      </c>
      <c r="C69" t="s">
        <v>13</v>
      </c>
      <c r="D69" t="s">
        <v>88</v>
      </c>
      <c r="E69">
        <v>3</v>
      </c>
      <c r="F69">
        <v>21999</v>
      </c>
      <c r="G69">
        <v>65997</v>
      </c>
      <c r="H69" t="s">
        <v>15</v>
      </c>
      <c r="I69" t="s">
        <v>16</v>
      </c>
    </row>
    <row r="70" spans="1:9" x14ac:dyDescent="0.35">
      <c r="A70">
        <v>10069</v>
      </c>
      <c r="B70" s="1">
        <v>45360</v>
      </c>
      <c r="C70" t="s">
        <v>17</v>
      </c>
      <c r="D70" t="s">
        <v>89</v>
      </c>
      <c r="E70">
        <v>4</v>
      </c>
      <c r="F70">
        <v>5999</v>
      </c>
      <c r="G70">
        <v>23996</v>
      </c>
      <c r="H70" t="s">
        <v>19</v>
      </c>
      <c r="I70" t="s">
        <v>20</v>
      </c>
    </row>
    <row r="71" spans="1:9" x14ac:dyDescent="0.35">
      <c r="A71">
        <v>10070</v>
      </c>
      <c r="B71" s="1">
        <v>45361</v>
      </c>
      <c r="C71" t="s">
        <v>21</v>
      </c>
      <c r="D71" t="s">
        <v>90</v>
      </c>
      <c r="E71">
        <v>2</v>
      </c>
      <c r="F71">
        <v>1099</v>
      </c>
      <c r="G71">
        <v>2198</v>
      </c>
      <c r="H71" t="s">
        <v>11</v>
      </c>
      <c r="I71" t="s">
        <v>12</v>
      </c>
    </row>
    <row r="72" spans="1:9" x14ac:dyDescent="0.35">
      <c r="A72">
        <v>10071</v>
      </c>
      <c r="B72" s="1">
        <v>45362</v>
      </c>
      <c r="C72" t="s">
        <v>23</v>
      </c>
      <c r="D72" t="s">
        <v>91</v>
      </c>
      <c r="E72">
        <v>1</v>
      </c>
      <c r="F72">
        <v>78</v>
      </c>
      <c r="G72">
        <v>78</v>
      </c>
      <c r="H72" t="s">
        <v>15</v>
      </c>
      <c r="I72" t="s">
        <v>16</v>
      </c>
    </row>
    <row r="73" spans="1:9" x14ac:dyDescent="0.35">
      <c r="A73">
        <v>10072</v>
      </c>
      <c r="B73" s="1">
        <v>45363</v>
      </c>
      <c r="C73" t="s">
        <v>25</v>
      </c>
      <c r="D73" t="s">
        <v>92</v>
      </c>
      <c r="E73">
        <v>3</v>
      </c>
      <c r="F73">
        <v>12999</v>
      </c>
      <c r="G73">
        <v>38997</v>
      </c>
      <c r="H73" t="s">
        <v>19</v>
      </c>
      <c r="I73" t="s">
        <v>12</v>
      </c>
    </row>
    <row r="74" spans="1:9" x14ac:dyDescent="0.35">
      <c r="A74">
        <v>10073</v>
      </c>
      <c r="B74" s="1">
        <v>45364</v>
      </c>
      <c r="C74" t="s">
        <v>9</v>
      </c>
      <c r="D74" t="s">
        <v>93</v>
      </c>
      <c r="E74">
        <v>1</v>
      </c>
      <c r="F74">
        <v>159999</v>
      </c>
      <c r="G74">
        <v>159999</v>
      </c>
      <c r="H74" t="s">
        <v>11</v>
      </c>
      <c r="I74" t="s">
        <v>12</v>
      </c>
    </row>
    <row r="75" spans="1:9" x14ac:dyDescent="0.35">
      <c r="A75">
        <v>10074</v>
      </c>
      <c r="B75" s="1">
        <v>45365</v>
      </c>
      <c r="C75" t="s">
        <v>13</v>
      </c>
      <c r="D75" t="s">
        <v>94</v>
      </c>
      <c r="E75">
        <v>1</v>
      </c>
      <c r="F75">
        <v>89999</v>
      </c>
      <c r="G75">
        <v>89999</v>
      </c>
      <c r="H75" t="s">
        <v>15</v>
      </c>
      <c r="I75" t="s">
        <v>16</v>
      </c>
    </row>
    <row r="76" spans="1:9" x14ac:dyDescent="0.35">
      <c r="A76">
        <v>10075</v>
      </c>
      <c r="B76" s="1">
        <v>45366</v>
      </c>
      <c r="C76" t="s">
        <v>17</v>
      </c>
      <c r="D76" t="s">
        <v>95</v>
      </c>
      <c r="E76">
        <v>5</v>
      </c>
      <c r="F76">
        <v>4999</v>
      </c>
      <c r="G76">
        <v>24995</v>
      </c>
      <c r="H76" t="s">
        <v>19</v>
      </c>
      <c r="I76" t="s">
        <v>20</v>
      </c>
    </row>
    <row r="77" spans="1:9" x14ac:dyDescent="0.35">
      <c r="A77">
        <v>10076</v>
      </c>
      <c r="B77" s="1">
        <v>45367</v>
      </c>
      <c r="C77" t="s">
        <v>21</v>
      </c>
      <c r="D77" t="s">
        <v>96</v>
      </c>
      <c r="E77">
        <v>4</v>
      </c>
      <c r="F77">
        <v>1499</v>
      </c>
      <c r="G77">
        <v>5996</v>
      </c>
      <c r="H77" t="s">
        <v>11</v>
      </c>
      <c r="I77" t="s">
        <v>12</v>
      </c>
    </row>
    <row r="78" spans="1:9" x14ac:dyDescent="0.35">
      <c r="A78">
        <v>10077</v>
      </c>
      <c r="B78" s="1">
        <v>45368</v>
      </c>
      <c r="C78" t="s">
        <v>23</v>
      </c>
      <c r="D78" t="s">
        <v>97</v>
      </c>
      <c r="E78">
        <v>2</v>
      </c>
      <c r="F78">
        <v>16</v>
      </c>
      <c r="G78">
        <v>32</v>
      </c>
      <c r="H78" t="s">
        <v>15</v>
      </c>
      <c r="I78" t="s">
        <v>16</v>
      </c>
    </row>
    <row r="79" spans="1:9" x14ac:dyDescent="0.35">
      <c r="A79">
        <v>10078</v>
      </c>
      <c r="B79" s="1">
        <v>45369</v>
      </c>
      <c r="C79" t="s">
        <v>25</v>
      </c>
      <c r="D79" t="s">
        <v>98</v>
      </c>
      <c r="E79">
        <v>3</v>
      </c>
      <c r="F79">
        <v>6999</v>
      </c>
      <c r="G79">
        <v>20997</v>
      </c>
      <c r="H79" t="s">
        <v>19</v>
      </c>
      <c r="I79" t="s">
        <v>12</v>
      </c>
    </row>
    <row r="80" spans="1:9" x14ac:dyDescent="0.35">
      <c r="A80">
        <v>10079</v>
      </c>
      <c r="B80" s="1">
        <v>45370</v>
      </c>
      <c r="C80" t="s">
        <v>9</v>
      </c>
      <c r="D80" t="s">
        <v>99</v>
      </c>
      <c r="E80">
        <v>2</v>
      </c>
      <c r="F80">
        <v>24999</v>
      </c>
      <c r="G80">
        <v>49998</v>
      </c>
      <c r="H80" t="s">
        <v>11</v>
      </c>
      <c r="I80" t="s">
        <v>12</v>
      </c>
    </row>
    <row r="81" spans="1:9" x14ac:dyDescent="0.35">
      <c r="A81">
        <v>10080</v>
      </c>
      <c r="B81" s="1">
        <v>45371</v>
      </c>
      <c r="C81" t="s">
        <v>13</v>
      </c>
      <c r="D81" t="s">
        <v>100</v>
      </c>
      <c r="E81">
        <v>1</v>
      </c>
      <c r="F81">
        <v>49999</v>
      </c>
      <c r="G81">
        <v>49999</v>
      </c>
      <c r="H81" t="s">
        <v>15</v>
      </c>
      <c r="I81" t="s">
        <v>16</v>
      </c>
    </row>
    <row r="82" spans="1:9" x14ac:dyDescent="0.35">
      <c r="A82">
        <v>10081</v>
      </c>
      <c r="B82" s="1">
        <v>45372</v>
      </c>
      <c r="C82" t="s">
        <v>17</v>
      </c>
      <c r="D82" t="s">
        <v>101</v>
      </c>
      <c r="E82">
        <v>2</v>
      </c>
      <c r="F82">
        <v>8999</v>
      </c>
      <c r="G82">
        <v>17998</v>
      </c>
      <c r="H82" t="s">
        <v>19</v>
      </c>
      <c r="I82" t="s">
        <v>20</v>
      </c>
    </row>
    <row r="83" spans="1:9" x14ac:dyDescent="0.35">
      <c r="A83">
        <v>10082</v>
      </c>
      <c r="B83" s="1">
        <v>45373</v>
      </c>
      <c r="C83" t="s">
        <v>21</v>
      </c>
      <c r="D83" t="s">
        <v>102</v>
      </c>
      <c r="E83">
        <v>3</v>
      </c>
      <c r="F83">
        <v>1299</v>
      </c>
      <c r="G83">
        <v>3897</v>
      </c>
      <c r="H83" t="s">
        <v>11</v>
      </c>
      <c r="I83" t="s">
        <v>12</v>
      </c>
    </row>
    <row r="84" spans="1:9" x14ac:dyDescent="0.35">
      <c r="A84">
        <v>10083</v>
      </c>
      <c r="B84" s="1">
        <v>45374</v>
      </c>
      <c r="C84" t="s">
        <v>23</v>
      </c>
      <c r="D84" t="s">
        <v>103</v>
      </c>
      <c r="E84">
        <v>1</v>
      </c>
      <c r="F84">
        <v>100</v>
      </c>
      <c r="G84">
        <v>100</v>
      </c>
      <c r="H84" t="s">
        <v>15</v>
      </c>
      <c r="I84" t="s">
        <v>16</v>
      </c>
    </row>
    <row r="85" spans="1:9" x14ac:dyDescent="0.35">
      <c r="A85">
        <v>10084</v>
      </c>
      <c r="B85" s="1">
        <v>45375</v>
      </c>
      <c r="C85" t="s">
        <v>25</v>
      </c>
      <c r="D85" t="s">
        <v>104</v>
      </c>
      <c r="E85">
        <v>6</v>
      </c>
      <c r="F85">
        <v>2499</v>
      </c>
      <c r="G85">
        <v>14994</v>
      </c>
      <c r="H85" t="s">
        <v>19</v>
      </c>
      <c r="I85" t="s">
        <v>12</v>
      </c>
    </row>
    <row r="86" spans="1:9" x14ac:dyDescent="0.35">
      <c r="A86">
        <v>10085</v>
      </c>
      <c r="B86" s="1">
        <v>45376</v>
      </c>
      <c r="C86" t="s">
        <v>9</v>
      </c>
      <c r="D86" t="s">
        <v>105</v>
      </c>
      <c r="E86">
        <v>1</v>
      </c>
      <c r="F86">
        <v>9999</v>
      </c>
      <c r="G86">
        <v>9999</v>
      </c>
      <c r="H86" t="s">
        <v>11</v>
      </c>
      <c r="I86" t="s">
        <v>12</v>
      </c>
    </row>
    <row r="87" spans="1:9" x14ac:dyDescent="0.35">
      <c r="A87">
        <v>10086</v>
      </c>
      <c r="B87" s="1">
        <v>45377</v>
      </c>
      <c r="C87" t="s">
        <v>13</v>
      </c>
      <c r="D87" t="s">
        <v>106</v>
      </c>
      <c r="E87">
        <v>2</v>
      </c>
      <c r="F87">
        <v>129999</v>
      </c>
      <c r="G87">
        <v>259998</v>
      </c>
      <c r="H87" t="s">
        <v>15</v>
      </c>
      <c r="I87" t="s">
        <v>16</v>
      </c>
    </row>
    <row r="88" spans="1:9" x14ac:dyDescent="0.35">
      <c r="A88">
        <v>10087</v>
      </c>
      <c r="B88" s="1">
        <v>45378</v>
      </c>
      <c r="C88" t="s">
        <v>17</v>
      </c>
      <c r="D88" t="s">
        <v>107</v>
      </c>
      <c r="E88">
        <v>3</v>
      </c>
      <c r="F88">
        <v>7999</v>
      </c>
      <c r="G88">
        <v>23997</v>
      </c>
      <c r="H88" t="s">
        <v>19</v>
      </c>
      <c r="I88" t="s">
        <v>20</v>
      </c>
    </row>
    <row r="89" spans="1:9" x14ac:dyDescent="0.35">
      <c r="A89">
        <v>10088</v>
      </c>
      <c r="B89" s="1">
        <v>45379</v>
      </c>
      <c r="C89" t="s">
        <v>21</v>
      </c>
      <c r="D89" t="s">
        <v>108</v>
      </c>
      <c r="E89">
        <v>4</v>
      </c>
      <c r="F89">
        <v>1399</v>
      </c>
      <c r="G89">
        <v>5596</v>
      </c>
      <c r="H89" t="s">
        <v>11</v>
      </c>
      <c r="I89" t="s">
        <v>12</v>
      </c>
    </row>
    <row r="90" spans="1:9" x14ac:dyDescent="0.35">
      <c r="A90">
        <v>10089</v>
      </c>
      <c r="B90" s="1">
        <v>45380</v>
      </c>
      <c r="C90" t="s">
        <v>23</v>
      </c>
      <c r="D90" t="s">
        <v>109</v>
      </c>
      <c r="E90">
        <v>1</v>
      </c>
      <c r="F90">
        <v>105</v>
      </c>
      <c r="G90">
        <v>105</v>
      </c>
      <c r="H90" t="s">
        <v>15</v>
      </c>
      <c r="I90" t="s">
        <v>16</v>
      </c>
    </row>
    <row r="91" spans="1:9" x14ac:dyDescent="0.35">
      <c r="A91">
        <v>10090</v>
      </c>
      <c r="B91" s="1">
        <v>45381</v>
      </c>
      <c r="C91" t="s">
        <v>25</v>
      </c>
      <c r="D91" t="s">
        <v>110</v>
      </c>
      <c r="E91">
        <v>2</v>
      </c>
      <c r="F91">
        <v>12999</v>
      </c>
      <c r="G91">
        <v>25998</v>
      </c>
      <c r="H91" t="s">
        <v>19</v>
      </c>
      <c r="I91" t="s">
        <v>12</v>
      </c>
    </row>
    <row r="92" spans="1:9" x14ac:dyDescent="0.35">
      <c r="A92">
        <v>10091</v>
      </c>
      <c r="B92" s="1">
        <v>45382</v>
      </c>
      <c r="C92" t="s">
        <v>9</v>
      </c>
      <c r="D92" t="s">
        <v>111</v>
      </c>
      <c r="E92">
        <v>2</v>
      </c>
      <c r="F92">
        <v>9999</v>
      </c>
      <c r="G92">
        <v>19998</v>
      </c>
      <c r="H92" t="s">
        <v>11</v>
      </c>
      <c r="I92" t="s">
        <v>12</v>
      </c>
    </row>
    <row r="93" spans="1:9" x14ac:dyDescent="0.35">
      <c r="A93">
        <v>10092</v>
      </c>
      <c r="B93" s="1">
        <v>45383</v>
      </c>
      <c r="C93" t="s">
        <v>13</v>
      </c>
      <c r="D93" t="s">
        <v>112</v>
      </c>
      <c r="E93">
        <v>1</v>
      </c>
      <c r="F93">
        <v>17999</v>
      </c>
      <c r="G93">
        <v>17999</v>
      </c>
      <c r="H93" t="s">
        <v>15</v>
      </c>
      <c r="I93" t="s">
        <v>16</v>
      </c>
    </row>
    <row r="94" spans="1:9" x14ac:dyDescent="0.35">
      <c r="A94">
        <v>10093</v>
      </c>
      <c r="B94" s="1">
        <v>45384</v>
      </c>
      <c r="C94" t="s">
        <v>17</v>
      </c>
      <c r="D94" t="s">
        <v>113</v>
      </c>
      <c r="E94">
        <v>4</v>
      </c>
      <c r="F94">
        <v>7999</v>
      </c>
      <c r="G94">
        <v>31996</v>
      </c>
      <c r="H94" t="s">
        <v>19</v>
      </c>
      <c r="I94" t="s">
        <v>20</v>
      </c>
    </row>
    <row r="95" spans="1:9" x14ac:dyDescent="0.35">
      <c r="A95">
        <v>10094</v>
      </c>
      <c r="B95" s="1">
        <v>45385</v>
      </c>
      <c r="C95" t="s">
        <v>21</v>
      </c>
      <c r="D95" t="s">
        <v>114</v>
      </c>
      <c r="E95">
        <v>3</v>
      </c>
      <c r="F95">
        <v>1499</v>
      </c>
      <c r="G95">
        <v>4497</v>
      </c>
      <c r="H95" t="s">
        <v>11</v>
      </c>
      <c r="I95" t="s">
        <v>12</v>
      </c>
    </row>
    <row r="96" spans="1:9" x14ac:dyDescent="0.35">
      <c r="A96">
        <v>10095</v>
      </c>
      <c r="B96" s="1">
        <v>45386</v>
      </c>
      <c r="C96" t="s">
        <v>23</v>
      </c>
      <c r="D96" t="s">
        <v>115</v>
      </c>
      <c r="E96">
        <v>1</v>
      </c>
      <c r="F96">
        <v>68</v>
      </c>
      <c r="G96">
        <v>68</v>
      </c>
      <c r="H96" t="s">
        <v>15</v>
      </c>
      <c r="I96" t="s">
        <v>16</v>
      </c>
    </row>
    <row r="97" spans="1:9" x14ac:dyDescent="0.35">
      <c r="A97">
        <v>10096</v>
      </c>
      <c r="B97" s="1">
        <v>45387</v>
      </c>
      <c r="C97" t="s">
        <v>25</v>
      </c>
      <c r="D97" t="s">
        <v>116</v>
      </c>
      <c r="E97">
        <v>1</v>
      </c>
      <c r="F97">
        <v>99999</v>
      </c>
      <c r="G97">
        <v>99999</v>
      </c>
      <c r="H97" t="s">
        <v>19</v>
      </c>
      <c r="I97" t="s">
        <v>12</v>
      </c>
    </row>
    <row r="98" spans="1:9" x14ac:dyDescent="0.35">
      <c r="A98">
        <v>10097</v>
      </c>
      <c r="B98" s="1">
        <v>45388</v>
      </c>
      <c r="C98" t="s">
        <v>9</v>
      </c>
      <c r="D98" t="s">
        <v>117</v>
      </c>
      <c r="E98">
        <v>3</v>
      </c>
      <c r="F98">
        <v>29999</v>
      </c>
      <c r="G98">
        <v>89997</v>
      </c>
      <c r="H98" t="s">
        <v>11</v>
      </c>
      <c r="I98" t="s">
        <v>12</v>
      </c>
    </row>
    <row r="99" spans="1:9" x14ac:dyDescent="0.35">
      <c r="A99">
        <v>10098</v>
      </c>
      <c r="B99" s="1">
        <v>45389</v>
      </c>
      <c r="C99" t="s">
        <v>13</v>
      </c>
      <c r="D99" t="s">
        <v>118</v>
      </c>
      <c r="E99">
        <v>1</v>
      </c>
      <c r="F99">
        <v>34999</v>
      </c>
      <c r="G99">
        <v>34999</v>
      </c>
      <c r="H99" t="s">
        <v>15</v>
      </c>
      <c r="I99" t="s">
        <v>16</v>
      </c>
    </row>
    <row r="100" spans="1:9" x14ac:dyDescent="0.35">
      <c r="A100">
        <v>10099</v>
      </c>
      <c r="B100" s="1">
        <v>45390</v>
      </c>
      <c r="C100" t="s">
        <v>17</v>
      </c>
      <c r="D100" t="s">
        <v>119</v>
      </c>
      <c r="E100">
        <v>6</v>
      </c>
      <c r="F100">
        <v>1999</v>
      </c>
      <c r="G100">
        <v>11994</v>
      </c>
      <c r="H100" t="s">
        <v>19</v>
      </c>
      <c r="I100" t="s">
        <v>20</v>
      </c>
    </row>
    <row r="101" spans="1:9" x14ac:dyDescent="0.35">
      <c r="A101">
        <v>10100</v>
      </c>
      <c r="B101" s="1">
        <v>45391</v>
      </c>
      <c r="C101" t="s">
        <v>21</v>
      </c>
      <c r="D101" t="s">
        <v>120</v>
      </c>
      <c r="E101">
        <v>2</v>
      </c>
      <c r="F101">
        <v>1299</v>
      </c>
      <c r="G101">
        <v>2598</v>
      </c>
      <c r="H101" t="s">
        <v>11</v>
      </c>
      <c r="I101" t="s">
        <v>12</v>
      </c>
    </row>
    <row r="102" spans="1:9" x14ac:dyDescent="0.35">
      <c r="A102">
        <v>10101</v>
      </c>
      <c r="B102" s="1">
        <v>45392</v>
      </c>
      <c r="C102" t="s">
        <v>23</v>
      </c>
      <c r="D102" t="s">
        <v>121</v>
      </c>
      <c r="E102">
        <v>1</v>
      </c>
      <c r="F102">
        <v>82</v>
      </c>
      <c r="G102">
        <v>82</v>
      </c>
      <c r="H102" t="s">
        <v>15</v>
      </c>
      <c r="I102" t="s">
        <v>16</v>
      </c>
    </row>
    <row r="103" spans="1:9" x14ac:dyDescent="0.35">
      <c r="A103">
        <v>10102</v>
      </c>
      <c r="B103" s="1">
        <v>45393</v>
      </c>
      <c r="C103" t="s">
        <v>25</v>
      </c>
      <c r="D103" t="s">
        <v>122</v>
      </c>
      <c r="E103">
        <v>2</v>
      </c>
      <c r="F103">
        <v>10999</v>
      </c>
      <c r="G103">
        <v>21998</v>
      </c>
      <c r="H103" t="s">
        <v>19</v>
      </c>
      <c r="I103" t="s">
        <v>12</v>
      </c>
    </row>
    <row r="104" spans="1:9" x14ac:dyDescent="0.35">
      <c r="A104">
        <v>10103</v>
      </c>
      <c r="B104" s="1">
        <v>45394</v>
      </c>
      <c r="C104" t="s">
        <v>9</v>
      </c>
      <c r="D104" t="s">
        <v>123</v>
      </c>
      <c r="E104">
        <v>1</v>
      </c>
      <c r="F104">
        <v>389999</v>
      </c>
      <c r="G104">
        <v>389999</v>
      </c>
      <c r="H104" t="s">
        <v>11</v>
      </c>
      <c r="I104" t="s">
        <v>12</v>
      </c>
    </row>
    <row r="105" spans="1:9" x14ac:dyDescent="0.35">
      <c r="A105">
        <v>10104</v>
      </c>
      <c r="B105" s="1">
        <v>45395</v>
      </c>
      <c r="C105" t="s">
        <v>13</v>
      </c>
      <c r="D105" t="s">
        <v>124</v>
      </c>
      <c r="E105">
        <v>2</v>
      </c>
      <c r="F105">
        <v>34999</v>
      </c>
      <c r="G105">
        <v>69998</v>
      </c>
      <c r="H105" t="s">
        <v>15</v>
      </c>
      <c r="I105" t="s">
        <v>16</v>
      </c>
    </row>
    <row r="106" spans="1:9" x14ac:dyDescent="0.35">
      <c r="A106">
        <v>10105</v>
      </c>
      <c r="B106" s="1">
        <v>45396</v>
      </c>
      <c r="C106" t="s">
        <v>17</v>
      </c>
      <c r="D106" t="s">
        <v>125</v>
      </c>
      <c r="E106">
        <v>3</v>
      </c>
      <c r="F106">
        <v>3999</v>
      </c>
      <c r="G106">
        <v>11997</v>
      </c>
      <c r="H106" t="s">
        <v>19</v>
      </c>
      <c r="I106" t="s">
        <v>20</v>
      </c>
    </row>
    <row r="107" spans="1:9" x14ac:dyDescent="0.35">
      <c r="A107">
        <v>10106</v>
      </c>
      <c r="B107" s="1">
        <v>45397</v>
      </c>
      <c r="C107" t="s">
        <v>21</v>
      </c>
      <c r="D107" t="s">
        <v>126</v>
      </c>
      <c r="E107">
        <v>4</v>
      </c>
      <c r="F107">
        <v>1099</v>
      </c>
      <c r="G107">
        <v>4396</v>
      </c>
      <c r="H107" t="s">
        <v>11</v>
      </c>
      <c r="I107" t="s">
        <v>12</v>
      </c>
    </row>
    <row r="108" spans="1:9" x14ac:dyDescent="0.35">
      <c r="A108">
        <v>10107</v>
      </c>
      <c r="B108" s="1">
        <v>45398</v>
      </c>
      <c r="C108" t="s">
        <v>23</v>
      </c>
      <c r="D108" t="s">
        <v>127</v>
      </c>
      <c r="E108">
        <v>1</v>
      </c>
      <c r="F108">
        <v>65</v>
      </c>
      <c r="G108">
        <v>65</v>
      </c>
      <c r="H108" t="s">
        <v>15</v>
      </c>
      <c r="I108" t="s">
        <v>16</v>
      </c>
    </row>
    <row r="109" spans="1:9" x14ac:dyDescent="0.35">
      <c r="A109">
        <v>10108</v>
      </c>
      <c r="B109" s="1">
        <v>45399</v>
      </c>
      <c r="C109" t="s">
        <v>25</v>
      </c>
      <c r="D109" t="s">
        <v>128</v>
      </c>
      <c r="E109">
        <v>1</v>
      </c>
      <c r="F109">
        <v>39999</v>
      </c>
      <c r="G109">
        <v>39999</v>
      </c>
      <c r="H109" t="s">
        <v>19</v>
      </c>
      <c r="I109" t="s">
        <v>12</v>
      </c>
    </row>
    <row r="110" spans="1:9" x14ac:dyDescent="0.35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>
        <v>22999</v>
      </c>
      <c r="G110">
        <v>45998</v>
      </c>
      <c r="H110" t="s">
        <v>11</v>
      </c>
      <c r="I110" t="s">
        <v>12</v>
      </c>
    </row>
    <row r="111" spans="1:9" x14ac:dyDescent="0.35">
      <c r="A111">
        <v>10110</v>
      </c>
      <c r="B111" s="1">
        <v>45401</v>
      </c>
      <c r="C111" t="s">
        <v>13</v>
      </c>
      <c r="D111" t="s">
        <v>130</v>
      </c>
      <c r="E111">
        <v>1</v>
      </c>
      <c r="F111">
        <v>15999</v>
      </c>
      <c r="G111">
        <v>15999</v>
      </c>
      <c r="H111" t="s">
        <v>15</v>
      </c>
      <c r="I111" t="s">
        <v>16</v>
      </c>
    </row>
    <row r="112" spans="1:9" x14ac:dyDescent="0.35">
      <c r="A112">
        <v>10111</v>
      </c>
      <c r="B112" s="1">
        <v>45402</v>
      </c>
      <c r="C112" t="s">
        <v>17</v>
      </c>
      <c r="D112" t="s">
        <v>131</v>
      </c>
      <c r="E112">
        <v>4</v>
      </c>
      <c r="F112">
        <v>1499</v>
      </c>
      <c r="G112">
        <v>5996</v>
      </c>
      <c r="H112" t="s">
        <v>19</v>
      </c>
      <c r="I112" t="s">
        <v>20</v>
      </c>
    </row>
    <row r="113" spans="1:9" x14ac:dyDescent="0.35">
      <c r="A113">
        <v>10112</v>
      </c>
      <c r="B113" s="1">
        <v>45403</v>
      </c>
      <c r="C113" t="s">
        <v>21</v>
      </c>
      <c r="D113" t="s">
        <v>132</v>
      </c>
      <c r="E113">
        <v>2</v>
      </c>
      <c r="F113">
        <v>1899</v>
      </c>
      <c r="G113">
        <v>3798</v>
      </c>
      <c r="H113" t="s">
        <v>11</v>
      </c>
      <c r="I113" t="s">
        <v>12</v>
      </c>
    </row>
    <row r="114" spans="1:9" x14ac:dyDescent="0.35">
      <c r="A114">
        <v>10113</v>
      </c>
      <c r="B114" s="1">
        <v>45404</v>
      </c>
      <c r="C114" t="s">
        <v>23</v>
      </c>
      <c r="D114" t="s">
        <v>133</v>
      </c>
      <c r="E114">
        <v>1</v>
      </c>
      <c r="F114">
        <v>15</v>
      </c>
      <c r="G114">
        <v>15</v>
      </c>
      <c r="H114" t="s">
        <v>15</v>
      </c>
      <c r="I114" t="s">
        <v>16</v>
      </c>
    </row>
    <row r="115" spans="1:9" x14ac:dyDescent="0.35">
      <c r="A115">
        <v>10114</v>
      </c>
      <c r="B115" s="1">
        <v>45405</v>
      </c>
      <c r="C115" t="s">
        <v>25</v>
      </c>
      <c r="D115" t="s">
        <v>134</v>
      </c>
      <c r="E115">
        <v>3</v>
      </c>
      <c r="F115">
        <v>22995</v>
      </c>
      <c r="G115">
        <v>68985</v>
      </c>
      <c r="H115" t="s">
        <v>19</v>
      </c>
      <c r="I115" t="s">
        <v>12</v>
      </c>
    </row>
    <row r="116" spans="1:9" x14ac:dyDescent="0.35">
      <c r="A116">
        <v>10115</v>
      </c>
      <c r="B116" s="1">
        <v>45406</v>
      </c>
      <c r="C116" t="s">
        <v>9</v>
      </c>
      <c r="D116" t="s">
        <v>135</v>
      </c>
      <c r="E116">
        <v>1</v>
      </c>
      <c r="F116">
        <v>24999</v>
      </c>
      <c r="G116">
        <v>24999</v>
      </c>
      <c r="H116" t="s">
        <v>11</v>
      </c>
      <c r="I116" t="s">
        <v>12</v>
      </c>
    </row>
    <row r="117" spans="1:9" x14ac:dyDescent="0.35">
      <c r="A117">
        <v>10116</v>
      </c>
      <c r="B117" s="1">
        <v>45407</v>
      </c>
      <c r="C117" t="s">
        <v>13</v>
      </c>
      <c r="D117" t="s">
        <v>136</v>
      </c>
      <c r="E117">
        <v>2</v>
      </c>
      <c r="F117">
        <v>29995</v>
      </c>
      <c r="G117">
        <v>5999</v>
      </c>
      <c r="H117" t="s">
        <v>15</v>
      </c>
      <c r="I117" t="s">
        <v>16</v>
      </c>
    </row>
    <row r="118" spans="1:9" x14ac:dyDescent="0.35">
      <c r="A118">
        <v>10117</v>
      </c>
      <c r="B118" s="1">
        <v>45408</v>
      </c>
      <c r="C118" t="s">
        <v>17</v>
      </c>
      <c r="D118" t="s">
        <v>137</v>
      </c>
      <c r="E118">
        <v>3</v>
      </c>
      <c r="F118">
        <v>4999</v>
      </c>
      <c r="G118">
        <v>14997</v>
      </c>
      <c r="H118" t="s">
        <v>19</v>
      </c>
      <c r="I118" t="s">
        <v>20</v>
      </c>
    </row>
    <row r="119" spans="1:9" x14ac:dyDescent="0.35">
      <c r="A119">
        <v>10118</v>
      </c>
      <c r="B119" s="1">
        <v>45409</v>
      </c>
      <c r="C119" t="s">
        <v>21</v>
      </c>
      <c r="D119" t="s">
        <v>138</v>
      </c>
      <c r="E119">
        <v>4</v>
      </c>
      <c r="F119">
        <v>1699</v>
      </c>
      <c r="G119">
        <v>6796</v>
      </c>
      <c r="H119" t="s">
        <v>11</v>
      </c>
      <c r="I119" t="s">
        <v>12</v>
      </c>
    </row>
    <row r="120" spans="1:9" x14ac:dyDescent="0.35">
      <c r="A120">
        <v>10119</v>
      </c>
      <c r="B120" s="1">
        <v>45410</v>
      </c>
      <c r="C120" t="s">
        <v>23</v>
      </c>
      <c r="D120" t="s">
        <v>139</v>
      </c>
      <c r="E120">
        <v>2</v>
      </c>
      <c r="F120">
        <v>1499</v>
      </c>
      <c r="G120">
        <v>2998</v>
      </c>
      <c r="H120" t="s">
        <v>15</v>
      </c>
      <c r="I120" t="s">
        <v>16</v>
      </c>
    </row>
    <row r="121" spans="1:9" x14ac:dyDescent="0.35">
      <c r="A121">
        <v>10120</v>
      </c>
      <c r="B121" s="1">
        <v>45411</v>
      </c>
      <c r="C121" t="s">
        <v>25</v>
      </c>
      <c r="D121" t="s">
        <v>140</v>
      </c>
      <c r="E121">
        <v>1</v>
      </c>
      <c r="F121">
        <v>24999</v>
      </c>
      <c r="G121">
        <v>24999</v>
      </c>
      <c r="H121" t="s">
        <v>19</v>
      </c>
      <c r="I121" t="s">
        <v>12</v>
      </c>
    </row>
    <row r="122" spans="1:9" x14ac:dyDescent="0.35">
      <c r="A122">
        <v>10121</v>
      </c>
      <c r="B122" s="1">
        <v>45412</v>
      </c>
      <c r="C122" t="s">
        <v>9</v>
      </c>
      <c r="D122" t="s">
        <v>141</v>
      </c>
      <c r="E122">
        <v>2</v>
      </c>
      <c r="F122">
        <v>59999</v>
      </c>
      <c r="G122">
        <v>119998</v>
      </c>
      <c r="H122" t="s">
        <v>11</v>
      </c>
      <c r="I122" t="s">
        <v>12</v>
      </c>
    </row>
    <row r="123" spans="1:9" x14ac:dyDescent="0.35">
      <c r="A123">
        <v>10122</v>
      </c>
      <c r="B123" s="1">
        <v>45413</v>
      </c>
      <c r="C123" t="s">
        <v>13</v>
      </c>
      <c r="D123" t="s">
        <v>142</v>
      </c>
      <c r="E123">
        <v>1</v>
      </c>
      <c r="F123">
        <v>8999</v>
      </c>
      <c r="G123">
        <v>8999</v>
      </c>
      <c r="H123" t="s">
        <v>15</v>
      </c>
      <c r="I123" t="s">
        <v>16</v>
      </c>
    </row>
    <row r="124" spans="1:9" x14ac:dyDescent="0.35">
      <c r="A124">
        <v>10123</v>
      </c>
      <c r="B124" s="1">
        <v>45414</v>
      </c>
      <c r="C124" t="s">
        <v>17</v>
      </c>
      <c r="D124" t="s">
        <v>143</v>
      </c>
      <c r="E124">
        <v>5</v>
      </c>
      <c r="F124">
        <v>1299</v>
      </c>
      <c r="G124">
        <v>6495</v>
      </c>
      <c r="H124" t="s">
        <v>19</v>
      </c>
      <c r="I124" t="s">
        <v>20</v>
      </c>
    </row>
    <row r="125" spans="1:9" x14ac:dyDescent="0.35">
      <c r="A125">
        <v>10124</v>
      </c>
      <c r="B125" s="1">
        <v>45415</v>
      </c>
      <c r="C125" t="s">
        <v>21</v>
      </c>
      <c r="D125" t="s">
        <v>144</v>
      </c>
      <c r="E125">
        <v>3</v>
      </c>
      <c r="F125">
        <v>1499</v>
      </c>
      <c r="G125">
        <v>4497</v>
      </c>
      <c r="H125" t="s">
        <v>11</v>
      </c>
      <c r="I125" t="s">
        <v>12</v>
      </c>
    </row>
    <row r="126" spans="1:9" x14ac:dyDescent="0.35">
      <c r="A126">
        <v>10125</v>
      </c>
      <c r="B126" s="1">
        <v>45416</v>
      </c>
      <c r="C126" t="s">
        <v>23</v>
      </c>
      <c r="D126" t="s">
        <v>145</v>
      </c>
      <c r="E126">
        <v>1</v>
      </c>
      <c r="F126">
        <v>30</v>
      </c>
      <c r="G126">
        <v>30</v>
      </c>
      <c r="H126" t="s">
        <v>15</v>
      </c>
      <c r="I126" t="s">
        <v>16</v>
      </c>
    </row>
    <row r="127" spans="1:9" x14ac:dyDescent="0.35">
      <c r="A127">
        <v>10126</v>
      </c>
      <c r="B127" s="1">
        <v>45417</v>
      </c>
      <c r="C127" t="s">
        <v>25</v>
      </c>
      <c r="D127" t="s">
        <v>146</v>
      </c>
      <c r="E127">
        <v>1</v>
      </c>
      <c r="F127">
        <v>19999</v>
      </c>
      <c r="G127">
        <v>19999</v>
      </c>
      <c r="H127" t="s">
        <v>19</v>
      </c>
      <c r="I127" t="s">
        <v>12</v>
      </c>
    </row>
    <row r="128" spans="1:9" x14ac:dyDescent="0.35">
      <c r="A128">
        <v>10127</v>
      </c>
      <c r="B128" s="1">
        <v>45418</v>
      </c>
      <c r="C128" t="s">
        <v>9</v>
      </c>
      <c r="D128" t="s">
        <v>147</v>
      </c>
      <c r="E128">
        <v>1</v>
      </c>
      <c r="F128">
        <v>49999</v>
      </c>
      <c r="G128">
        <v>49999</v>
      </c>
      <c r="H128" t="s">
        <v>11</v>
      </c>
      <c r="I128" t="s">
        <v>12</v>
      </c>
    </row>
    <row r="129" spans="1:9" x14ac:dyDescent="0.35">
      <c r="A129">
        <v>10128</v>
      </c>
      <c r="B129" s="1">
        <v>45419</v>
      </c>
      <c r="C129" t="s">
        <v>13</v>
      </c>
      <c r="D129" t="s">
        <v>37</v>
      </c>
      <c r="E129">
        <v>2</v>
      </c>
      <c r="F129">
        <v>39999</v>
      </c>
      <c r="G129">
        <v>79998</v>
      </c>
      <c r="H129" t="s">
        <v>15</v>
      </c>
      <c r="I129" t="s">
        <v>16</v>
      </c>
    </row>
    <row r="130" spans="1:9" x14ac:dyDescent="0.35">
      <c r="A130">
        <v>10129</v>
      </c>
      <c r="B130" s="1">
        <v>45420</v>
      </c>
      <c r="C130" t="s">
        <v>17</v>
      </c>
      <c r="D130" t="s">
        <v>148</v>
      </c>
      <c r="E130">
        <v>3</v>
      </c>
      <c r="F130">
        <v>98</v>
      </c>
      <c r="G130">
        <v>294</v>
      </c>
      <c r="H130" t="s">
        <v>19</v>
      </c>
      <c r="I130" t="s">
        <v>20</v>
      </c>
    </row>
    <row r="131" spans="1:9" x14ac:dyDescent="0.35">
      <c r="A131">
        <v>10130</v>
      </c>
      <c r="B131" s="1">
        <v>45421</v>
      </c>
      <c r="C131" t="s">
        <v>21</v>
      </c>
      <c r="D131" t="s">
        <v>149</v>
      </c>
      <c r="E131">
        <v>2</v>
      </c>
      <c r="F131">
        <v>899</v>
      </c>
      <c r="G131">
        <v>1798</v>
      </c>
      <c r="H131" t="s">
        <v>11</v>
      </c>
      <c r="I131" t="s">
        <v>12</v>
      </c>
    </row>
    <row r="132" spans="1:9" x14ac:dyDescent="0.35">
      <c r="A132">
        <v>10131</v>
      </c>
      <c r="B132" s="1">
        <v>45422</v>
      </c>
      <c r="C132" t="s">
        <v>23</v>
      </c>
      <c r="D132" t="s">
        <v>150</v>
      </c>
      <c r="E132">
        <v>1</v>
      </c>
      <c r="F132">
        <v>36</v>
      </c>
      <c r="G132">
        <v>36</v>
      </c>
      <c r="H132" t="s">
        <v>15</v>
      </c>
      <c r="I132" t="s">
        <v>16</v>
      </c>
    </row>
    <row r="133" spans="1:9" x14ac:dyDescent="0.35">
      <c r="A133">
        <v>10132</v>
      </c>
      <c r="B133" s="1">
        <v>45423</v>
      </c>
      <c r="C133" t="s">
        <v>25</v>
      </c>
      <c r="D133" t="s">
        <v>151</v>
      </c>
      <c r="E133">
        <v>4</v>
      </c>
      <c r="F133">
        <v>3995</v>
      </c>
      <c r="G133">
        <v>1598</v>
      </c>
      <c r="H133" t="s">
        <v>19</v>
      </c>
      <c r="I133" t="s">
        <v>12</v>
      </c>
    </row>
    <row r="134" spans="1:9" x14ac:dyDescent="0.35">
      <c r="A134">
        <v>10133</v>
      </c>
      <c r="B134" s="1">
        <v>45424</v>
      </c>
      <c r="C134" t="s">
        <v>9</v>
      </c>
      <c r="D134" t="s">
        <v>152</v>
      </c>
      <c r="E134">
        <v>1</v>
      </c>
      <c r="F134">
        <v>129999</v>
      </c>
      <c r="G134">
        <v>129999</v>
      </c>
      <c r="H134" t="s">
        <v>11</v>
      </c>
      <c r="I134" t="s">
        <v>12</v>
      </c>
    </row>
    <row r="135" spans="1:9" x14ac:dyDescent="0.35">
      <c r="A135">
        <v>10134</v>
      </c>
      <c r="B135" s="1">
        <v>45425</v>
      </c>
      <c r="C135" t="s">
        <v>13</v>
      </c>
      <c r="D135" t="s">
        <v>153</v>
      </c>
      <c r="E135">
        <v>2</v>
      </c>
      <c r="F135">
        <v>7999</v>
      </c>
      <c r="G135">
        <v>15998</v>
      </c>
      <c r="H135" t="s">
        <v>15</v>
      </c>
      <c r="I135" t="s">
        <v>16</v>
      </c>
    </row>
    <row r="136" spans="1:9" x14ac:dyDescent="0.35">
      <c r="A136">
        <v>10135</v>
      </c>
      <c r="B136" s="1">
        <v>45426</v>
      </c>
      <c r="C136" t="s">
        <v>17</v>
      </c>
      <c r="D136" t="s">
        <v>154</v>
      </c>
      <c r="E136">
        <v>4</v>
      </c>
      <c r="F136">
        <v>3499</v>
      </c>
      <c r="G136">
        <v>13996</v>
      </c>
      <c r="H136" t="s">
        <v>19</v>
      </c>
      <c r="I136" t="s">
        <v>20</v>
      </c>
    </row>
    <row r="137" spans="1:9" x14ac:dyDescent="0.35">
      <c r="A137">
        <v>10136</v>
      </c>
      <c r="B137" s="1">
        <v>45427</v>
      </c>
      <c r="C137" t="s">
        <v>21</v>
      </c>
      <c r="D137" t="s">
        <v>155</v>
      </c>
      <c r="E137">
        <v>3</v>
      </c>
      <c r="F137">
        <v>999</v>
      </c>
      <c r="G137">
        <v>2997</v>
      </c>
      <c r="H137" t="s">
        <v>11</v>
      </c>
      <c r="I137" t="s">
        <v>12</v>
      </c>
    </row>
    <row r="138" spans="1:9" x14ac:dyDescent="0.35">
      <c r="A138">
        <v>10137</v>
      </c>
      <c r="B138" s="1">
        <v>45428</v>
      </c>
      <c r="C138" t="s">
        <v>23</v>
      </c>
      <c r="D138" t="s">
        <v>156</v>
      </c>
      <c r="E138">
        <v>1</v>
      </c>
      <c r="F138">
        <v>68</v>
      </c>
      <c r="G138">
        <v>68</v>
      </c>
      <c r="H138" t="s">
        <v>15</v>
      </c>
      <c r="I138" t="s">
        <v>16</v>
      </c>
    </row>
    <row r="139" spans="1:9" x14ac:dyDescent="0.35">
      <c r="A139">
        <v>10138</v>
      </c>
      <c r="B139" s="1">
        <v>45429</v>
      </c>
      <c r="C139" t="s">
        <v>25</v>
      </c>
      <c r="D139" t="s">
        <v>157</v>
      </c>
      <c r="E139">
        <v>2</v>
      </c>
      <c r="F139">
        <v>9995</v>
      </c>
      <c r="G139">
        <v>1999</v>
      </c>
      <c r="H139" t="s">
        <v>19</v>
      </c>
      <c r="I139" t="s">
        <v>12</v>
      </c>
    </row>
    <row r="140" spans="1:9" x14ac:dyDescent="0.35">
      <c r="A140">
        <v>10139</v>
      </c>
      <c r="B140" s="1">
        <v>45430</v>
      </c>
      <c r="C140" t="s">
        <v>9</v>
      </c>
      <c r="D140" t="s">
        <v>158</v>
      </c>
      <c r="E140">
        <v>1</v>
      </c>
      <c r="F140">
        <v>149999</v>
      </c>
      <c r="G140">
        <v>149999</v>
      </c>
      <c r="H140" t="s">
        <v>11</v>
      </c>
      <c r="I140" t="s">
        <v>12</v>
      </c>
    </row>
    <row r="141" spans="1:9" x14ac:dyDescent="0.35">
      <c r="A141">
        <v>10140</v>
      </c>
      <c r="B141" s="1">
        <v>45431</v>
      </c>
      <c r="C141" t="s">
        <v>13</v>
      </c>
      <c r="D141" t="s">
        <v>159</v>
      </c>
      <c r="E141">
        <v>1</v>
      </c>
      <c r="F141">
        <v>13999</v>
      </c>
      <c r="G141">
        <v>13999</v>
      </c>
      <c r="H141" t="s">
        <v>15</v>
      </c>
      <c r="I141" t="s">
        <v>16</v>
      </c>
    </row>
    <row r="142" spans="1:9" x14ac:dyDescent="0.35">
      <c r="A142">
        <v>10141</v>
      </c>
      <c r="B142" s="1">
        <v>45432</v>
      </c>
      <c r="C142" t="s">
        <v>17</v>
      </c>
      <c r="D142" t="s">
        <v>160</v>
      </c>
      <c r="E142">
        <v>3</v>
      </c>
      <c r="F142">
        <v>4499</v>
      </c>
      <c r="G142">
        <v>13497</v>
      </c>
      <c r="H142" t="s">
        <v>19</v>
      </c>
      <c r="I142" t="s">
        <v>20</v>
      </c>
    </row>
    <row r="143" spans="1:9" x14ac:dyDescent="0.35">
      <c r="A143">
        <v>10142</v>
      </c>
      <c r="B143" s="1">
        <v>45433</v>
      </c>
      <c r="C143" t="s">
        <v>21</v>
      </c>
      <c r="D143" t="s">
        <v>161</v>
      </c>
      <c r="E143">
        <v>2</v>
      </c>
      <c r="F143">
        <v>1199</v>
      </c>
      <c r="G143">
        <v>2398</v>
      </c>
      <c r="H143" t="s">
        <v>11</v>
      </c>
      <c r="I143" t="s">
        <v>12</v>
      </c>
    </row>
    <row r="144" spans="1:9" x14ac:dyDescent="0.35">
      <c r="A144">
        <v>10143</v>
      </c>
      <c r="B144" s="1">
        <v>45434</v>
      </c>
      <c r="C144" t="s">
        <v>23</v>
      </c>
      <c r="D144" t="s">
        <v>162</v>
      </c>
      <c r="E144">
        <v>1</v>
      </c>
      <c r="F144">
        <v>295</v>
      </c>
      <c r="G144">
        <v>295</v>
      </c>
      <c r="H144" t="s">
        <v>15</v>
      </c>
      <c r="I144" t="s">
        <v>16</v>
      </c>
    </row>
    <row r="145" spans="1:9" x14ac:dyDescent="0.35">
      <c r="A145">
        <v>10144</v>
      </c>
      <c r="B145" s="1">
        <v>45435</v>
      </c>
      <c r="C145" t="s">
        <v>25</v>
      </c>
      <c r="D145" t="s">
        <v>163</v>
      </c>
      <c r="E145">
        <v>1</v>
      </c>
      <c r="F145">
        <v>29999</v>
      </c>
      <c r="G145">
        <v>29999</v>
      </c>
      <c r="H145" t="s">
        <v>19</v>
      </c>
      <c r="I145" t="s">
        <v>12</v>
      </c>
    </row>
    <row r="146" spans="1:9" x14ac:dyDescent="0.35">
      <c r="A146">
        <v>10145</v>
      </c>
      <c r="B146" s="1">
        <v>45436</v>
      </c>
      <c r="C146" t="s">
        <v>9</v>
      </c>
      <c r="D146" t="s">
        <v>164</v>
      </c>
      <c r="E146">
        <v>1</v>
      </c>
      <c r="F146">
        <v>549</v>
      </c>
      <c r="G146">
        <v>549</v>
      </c>
      <c r="H146" t="s">
        <v>11</v>
      </c>
      <c r="I146" t="s">
        <v>12</v>
      </c>
    </row>
    <row r="147" spans="1:9" x14ac:dyDescent="0.35">
      <c r="A147">
        <v>10146</v>
      </c>
      <c r="B147" s="1">
        <v>45437</v>
      </c>
      <c r="C147" t="s">
        <v>13</v>
      </c>
      <c r="D147" t="s">
        <v>165</v>
      </c>
      <c r="E147">
        <v>2</v>
      </c>
      <c r="F147">
        <v>19995</v>
      </c>
      <c r="G147">
        <v>3999</v>
      </c>
      <c r="H147" t="s">
        <v>15</v>
      </c>
      <c r="I147" t="s">
        <v>16</v>
      </c>
    </row>
    <row r="148" spans="1:9" x14ac:dyDescent="0.35">
      <c r="A148">
        <v>10147</v>
      </c>
      <c r="B148" s="1">
        <v>45438</v>
      </c>
      <c r="C148" t="s">
        <v>17</v>
      </c>
      <c r="D148" t="s">
        <v>166</v>
      </c>
      <c r="E148">
        <v>2</v>
      </c>
      <c r="F148">
        <v>98</v>
      </c>
      <c r="G148">
        <v>196</v>
      </c>
      <c r="H148" t="s">
        <v>19</v>
      </c>
      <c r="I148" t="s">
        <v>20</v>
      </c>
    </row>
    <row r="149" spans="1:9" x14ac:dyDescent="0.35">
      <c r="A149">
        <v>10148</v>
      </c>
      <c r="B149" s="1">
        <v>45439</v>
      </c>
      <c r="C149" t="s">
        <v>21</v>
      </c>
      <c r="D149" t="s">
        <v>167</v>
      </c>
      <c r="E149">
        <v>3</v>
      </c>
      <c r="F149">
        <v>1099</v>
      </c>
      <c r="G149">
        <v>3297</v>
      </c>
      <c r="H149" t="s">
        <v>11</v>
      </c>
      <c r="I149" t="s">
        <v>12</v>
      </c>
    </row>
    <row r="150" spans="1:9" x14ac:dyDescent="0.35">
      <c r="A150">
        <v>10149</v>
      </c>
      <c r="B150" s="1">
        <v>45440</v>
      </c>
      <c r="C150" t="s">
        <v>23</v>
      </c>
      <c r="D150" t="s">
        <v>168</v>
      </c>
      <c r="E150">
        <v>1</v>
      </c>
      <c r="F150">
        <v>25</v>
      </c>
      <c r="G150">
        <v>25</v>
      </c>
      <c r="H150" t="s">
        <v>15</v>
      </c>
      <c r="I150" t="s">
        <v>16</v>
      </c>
    </row>
    <row r="151" spans="1:9" x14ac:dyDescent="0.35">
      <c r="A151">
        <v>10150</v>
      </c>
      <c r="B151" s="1">
        <v>45441</v>
      </c>
      <c r="C151" t="s">
        <v>25</v>
      </c>
      <c r="D151" t="s">
        <v>169</v>
      </c>
      <c r="E151">
        <v>2</v>
      </c>
      <c r="F151">
        <v>14999</v>
      </c>
      <c r="G151">
        <v>29998</v>
      </c>
      <c r="H151" t="s">
        <v>19</v>
      </c>
      <c r="I151" t="s">
        <v>12</v>
      </c>
    </row>
    <row r="152" spans="1:9" x14ac:dyDescent="0.35">
      <c r="A152">
        <v>10151</v>
      </c>
      <c r="B152" s="1">
        <v>45442</v>
      </c>
      <c r="C152" t="s">
        <v>9</v>
      </c>
      <c r="D152" t="s">
        <v>51</v>
      </c>
      <c r="E152">
        <v>1</v>
      </c>
      <c r="F152">
        <v>34999</v>
      </c>
      <c r="G152">
        <v>34999</v>
      </c>
      <c r="H152" t="s">
        <v>11</v>
      </c>
      <c r="I152" t="s">
        <v>12</v>
      </c>
    </row>
    <row r="153" spans="1:9" x14ac:dyDescent="0.35">
      <c r="A153">
        <v>10152</v>
      </c>
      <c r="B153" s="1">
        <v>45443</v>
      </c>
      <c r="C153" t="s">
        <v>13</v>
      </c>
      <c r="D153" t="s">
        <v>170</v>
      </c>
      <c r="E153">
        <v>2</v>
      </c>
      <c r="F153">
        <v>19999</v>
      </c>
      <c r="G153">
        <v>39998</v>
      </c>
      <c r="H153" t="s">
        <v>15</v>
      </c>
      <c r="I153" t="s">
        <v>16</v>
      </c>
    </row>
    <row r="154" spans="1:9" x14ac:dyDescent="0.35">
      <c r="A154">
        <v>10153</v>
      </c>
      <c r="B154" s="1">
        <v>45444</v>
      </c>
      <c r="C154" t="s">
        <v>17</v>
      </c>
      <c r="D154" t="s">
        <v>171</v>
      </c>
      <c r="E154">
        <v>3</v>
      </c>
      <c r="F154">
        <v>5499</v>
      </c>
      <c r="G154">
        <v>16497</v>
      </c>
      <c r="H154" t="s">
        <v>19</v>
      </c>
      <c r="I154" t="s">
        <v>20</v>
      </c>
    </row>
    <row r="155" spans="1:9" x14ac:dyDescent="0.35">
      <c r="A155">
        <v>10154</v>
      </c>
      <c r="B155" s="1">
        <v>45445</v>
      </c>
      <c r="C155" t="s">
        <v>21</v>
      </c>
      <c r="D155" t="s">
        <v>172</v>
      </c>
      <c r="E155">
        <v>2</v>
      </c>
      <c r="F155">
        <v>1699</v>
      </c>
      <c r="G155">
        <v>3398</v>
      </c>
      <c r="H155" t="s">
        <v>11</v>
      </c>
      <c r="I155" t="s">
        <v>12</v>
      </c>
    </row>
    <row r="156" spans="1:9" x14ac:dyDescent="0.35">
      <c r="A156">
        <v>10155</v>
      </c>
      <c r="B156" s="1">
        <v>45446</v>
      </c>
      <c r="C156" t="s">
        <v>23</v>
      </c>
      <c r="D156" t="s">
        <v>173</v>
      </c>
      <c r="E156">
        <v>1</v>
      </c>
      <c r="F156">
        <v>59</v>
      </c>
      <c r="G156">
        <v>59</v>
      </c>
      <c r="H156" t="s">
        <v>15</v>
      </c>
      <c r="I156" t="s">
        <v>16</v>
      </c>
    </row>
    <row r="157" spans="1:9" x14ac:dyDescent="0.35">
      <c r="A157">
        <v>10156</v>
      </c>
      <c r="B157" s="1">
        <v>45447</v>
      </c>
      <c r="C157" t="s">
        <v>25</v>
      </c>
      <c r="D157" t="s">
        <v>174</v>
      </c>
      <c r="E157">
        <v>1</v>
      </c>
      <c r="F157">
        <v>29999</v>
      </c>
      <c r="G157">
        <v>29999</v>
      </c>
      <c r="H157" t="s">
        <v>19</v>
      </c>
      <c r="I157" t="s">
        <v>12</v>
      </c>
    </row>
    <row r="158" spans="1:9" x14ac:dyDescent="0.35">
      <c r="A158">
        <v>10157</v>
      </c>
      <c r="B158" s="1">
        <v>45448</v>
      </c>
      <c r="C158" t="s">
        <v>9</v>
      </c>
      <c r="D158" t="s">
        <v>175</v>
      </c>
      <c r="E158">
        <v>1</v>
      </c>
      <c r="F158">
        <v>89999</v>
      </c>
      <c r="G158">
        <v>89999</v>
      </c>
      <c r="H158" t="s">
        <v>11</v>
      </c>
      <c r="I158" t="s">
        <v>12</v>
      </c>
    </row>
    <row r="159" spans="1:9" x14ac:dyDescent="0.35">
      <c r="A159">
        <v>10158</v>
      </c>
      <c r="B159" s="1">
        <v>45449</v>
      </c>
      <c r="C159" t="s">
        <v>13</v>
      </c>
      <c r="D159" t="s">
        <v>176</v>
      </c>
      <c r="E159">
        <v>1</v>
      </c>
      <c r="F159">
        <v>49995</v>
      </c>
      <c r="G159">
        <v>49995</v>
      </c>
      <c r="H159" t="s">
        <v>15</v>
      </c>
      <c r="I159" t="s">
        <v>16</v>
      </c>
    </row>
    <row r="160" spans="1:9" x14ac:dyDescent="0.35">
      <c r="A160">
        <v>10159</v>
      </c>
      <c r="B160" s="1">
        <v>45450</v>
      </c>
      <c r="C160" t="s">
        <v>17</v>
      </c>
      <c r="D160" t="s">
        <v>177</v>
      </c>
      <c r="E160">
        <v>4</v>
      </c>
      <c r="F160">
        <v>2499</v>
      </c>
      <c r="G160">
        <v>9996</v>
      </c>
      <c r="H160" t="s">
        <v>19</v>
      </c>
      <c r="I160" t="s">
        <v>20</v>
      </c>
    </row>
    <row r="161" spans="1:9" x14ac:dyDescent="0.35">
      <c r="A161">
        <v>10160</v>
      </c>
      <c r="B161" s="1">
        <v>45451</v>
      </c>
      <c r="C161" t="s">
        <v>21</v>
      </c>
      <c r="D161" t="s">
        <v>178</v>
      </c>
      <c r="E161">
        <v>3</v>
      </c>
      <c r="F161">
        <v>799</v>
      </c>
      <c r="G161">
        <v>2397</v>
      </c>
      <c r="H161" t="s">
        <v>11</v>
      </c>
      <c r="I161" t="s">
        <v>12</v>
      </c>
    </row>
    <row r="162" spans="1:9" x14ac:dyDescent="0.35">
      <c r="A162">
        <v>10161</v>
      </c>
      <c r="B162" s="1">
        <v>45452</v>
      </c>
      <c r="C162" t="s">
        <v>23</v>
      </c>
      <c r="D162" t="s">
        <v>179</v>
      </c>
      <c r="E162">
        <v>1</v>
      </c>
      <c r="F162">
        <v>36</v>
      </c>
      <c r="G162">
        <v>36</v>
      </c>
      <c r="H162" t="s">
        <v>15</v>
      </c>
      <c r="I162" t="s">
        <v>16</v>
      </c>
    </row>
    <row r="163" spans="1:9" x14ac:dyDescent="0.35">
      <c r="A163">
        <v>10162</v>
      </c>
      <c r="B163" s="1">
        <v>45453</v>
      </c>
      <c r="C163" t="s">
        <v>25</v>
      </c>
      <c r="D163" t="s">
        <v>180</v>
      </c>
      <c r="E163">
        <v>2</v>
      </c>
      <c r="F163">
        <v>3499</v>
      </c>
      <c r="G163">
        <v>6998</v>
      </c>
      <c r="H163" t="s">
        <v>19</v>
      </c>
      <c r="I163" t="s">
        <v>12</v>
      </c>
    </row>
    <row r="164" spans="1:9" x14ac:dyDescent="0.35">
      <c r="A164">
        <v>10163</v>
      </c>
      <c r="B164" s="1">
        <v>45454</v>
      </c>
      <c r="C164" t="s">
        <v>9</v>
      </c>
      <c r="D164" t="s">
        <v>181</v>
      </c>
      <c r="E164">
        <v>1</v>
      </c>
      <c r="F164">
        <v>119999</v>
      </c>
      <c r="G164">
        <v>119999</v>
      </c>
      <c r="H164" t="s">
        <v>11</v>
      </c>
      <c r="I164" t="s">
        <v>12</v>
      </c>
    </row>
    <row r="165" spans="1:9" x14ac:dyDescent="0.35">
      <c r="A165">
        <v>10164</v>
      </c>
      <c r="B165" s="1">
        <v>45455</v>
      </c>
      <c r="C165" t="s">
        <v>13</v>
      </c>
      <c r="D165" t="s">
        <v>182</v>
      </c>
      <c r="E165">
        <v>1</v>
      </c>
      <c r="F165">
        <v>19999</v>
      </c>
      <c r="G165">
        <v>19999</v>
      </c>
      <c r="H165" t="s">
        <v>15</v>
      </c>
      <c r="I165" t="s">
        <v>16</v>
      </c>
    </row>
    <row r="166" spans="1:9" x14ac:dyDescent="0.35">
      <c r="A166">
        <v>10165</v>
      </c>
      <c r="B166" s="1">
        <v>45456</v>
      </c>
      <c r="C166" t="s">
        <v>17</v>
      </c>
      <c r="D166" t="s">
        <v>183</v>
      </c>
      <c r="E166">
        <v>5</v>
      </c>
      <c r="F166">
        <v>2999</v>
      </c>
      <c r="G166">
        <v>14995</v>
      </c>
      <c r="H166" t="s">
        <v>19</v>
      </c>
      <c r="I166" t="s">
        <v>20</v>
      </c>
    </row>
    <row r="167" spans="1:9" x14ac:dyDescent="0.35">
      <c r="A167">
        <v>10166</v>
      </c>
      <c r="B167" s="1">
        <v>45457</v>
      </c>
      <c r="C167" t="s">
        <v>21</v>
      </c>
      <c r="D167" t="s">
        <v>184</v>
      </c>
      <c r="E167">
        <v>4</v>
      </c>
      <c r="F167">
        <v>899</v>
      </c>
      <c r="G167">
        <v>3596</v>
      </c>
      <c r="H167" t="s">
        <v>11</v>
      </c>
      <c r="I167" t="s">
        <v>12</v>
      </c>
    </row>
    <row r="168" spans="1:9" x14ac:dyDescent="0.35">
      <c r="A168">
        <v>10167</v>
      </c>
      <c r="B168" s="1">
        <v>45458</v>
      </c>
      <c r="C168" t="s">
        <v>23</v>
      </c>
      <c r="D168" t="s">
        <v>185</v>
      </c>
      <c r="E168">
        <v>1</v>
      </c>
      <c r="F168">
        <v>1699</v>
      </c>
      <c r="G168">
        <v>1699</v>
      </c>
      <c r="H168" t="s">
        <v>15</v>
      </c>
      <c r="I168" t="s">
        <v>16</v>
      </c>
    </row>
    <row r="169" spans="1:9" x14ac:dyDescent="0.35">
      <c r="A169">
        <v>10168</v>
      </c>
      <c r="B169" s="1">
        <v>45459</v>
      </c>
      <c r="C169" t="s">
        <v>25</v>
      </c>
      <c r="D169" t="s">
        <v>186</v>
      </c>
      <c r="E169">
        <v>3</v>
      </c>
      <c r="F169">
        <v>4999</v>
      </c>
      <c r="G169">
        <v>14997</v>
      </c>
      <c r="H169" t="s">
        <v>19</v>
      </c>
      <c r="I169" t="s">
        <v>12</v>
      </c>
    </row>
    <row r="170" spans="1:9" x14ac:dyDescent="0.35">
      <c r="A170">
        <v>10169</v>
      </c>
      <c r="B170" s="1">
        <v>45460</v>
      </c>
      <c r="C170" t="s">
        <v>9</v>
      </c>
      <c r="D170" t="s">
        <v>187</v>
      </c>
      <c r="E170">
        <v>1</v>
      </c>
      <c r="F170">
        <v>69999</v>
      </c>
      <c r="G170">
        <v>69999</v>
      </c>
      <c r="H170" t="s">
        <v>11</v>
      </c>
      <c r="I170" t="s">
        <v>12</v>
      </c>
    </row>
    <row r="171" spans="1:9" x14ac:dyDescent="0.35">
      <c r="A171">
        <v>10170</v>
      </c>
      <c r="B171" s="1">
        <v>45461</v>
      </c>
      <c r="C171" t="s">
        <v>13</v>
      </c>
      <c r="D171" t="s">
        <v>188</v>
      </c>
      <c r="E171">
        <v>2</v>
      </c>
      <c r="F171">
        <v>13999</v>
      </c>
      <c r="G171">
        <v>27998</v>
      </c>
      <c r="H171" t="s">
        <v>15</v>
      </c>
      <c r="I171" t="s">
        <v>16</v>
      </c>
    </row>
    <row r="172" spans="1:9" x14ac:dyDescent="0.35">
      <c r="A172">
        <v>10171</v>
      </c>
      <c r="B172" s="1">
        <v>45462</v>
      </c>
      <c r="C172" t="s">
        <v>17</v>
      </c>
      <c r="D172" t="s">
        <v>189</v>
      </c>
      <c r="E172">
        <v>3</v>
      </c>
      <c r="F172">
        <v>3499</v>
      </c>
      <c r="G172">
        <v>10497</v>
      </c>
      <c r="H172" t="s">
        <v>19</v>
      </c>
      <c r="I172" t="s">
        <v>20</v>
      </c>
    </row>
    <row r="173" spans="1:9" x14ac:dyDescent="0.35">
      <c r="A173">
        <v>10172</v>
      </c>
      <c r="B173" s="1">
        <v>45463</v>
      </c>
      <c r="C173" t="s">
        <v>21</v>
      </c>
      <c r="D173" t="s">
        <v>190</v>
      </c>
      <c r="E173">
        <v>2</v>
      </c>
      <c r="F173">
        <v>999</v>
      </c>
      <c r="G173">
        <v>1998</v>
      </c>
      <c r="H173" t="s">
        <v>11</v>
      </c>
      <c r="I173" t="s">
        <v>12</v>
      </c>
    </row>
    <row r="174" spans="1:9" x14ac:dyDescent="0.35">
      <c r="A174">
        <v>10173</v>
      </c>
      <c r="B174" s="1">
        <v>45464</v>
      </c>
      <c r="C174" t="s">
        <v>23</v>
      </c>
      <c r="D174" t="s">
        <v>191</v>
      </c>
      <c r="E174">
        <v>1</v>
      </c>
      <c r="F174">
        <v>295</v>
      </c>
      <c r="G174">
        <v>295</v>
      </c>
      <c r="H174" t="s">
        <v>15</v>
      </c>
      <c r="I174" t="s">
        <v>16</v>
      </c>
    </row>
    <row r="175" spans="1:9" x14ac:dyDescent="0.35">
      <c r="A175">
        <v>10174</v>
      </c>
      <c r="B175" s="1">
        <v>45465</v>
      </c>
      <c r="C175" t="s">
        <v>25</v>
      </c>
      <c r="D175" t="s">
        <v>192</v>
      </c>
      <c r="E175">
        <v>1</v>
      </c>
      <c r="F175">
        <v>69999</v>
      </c>
      <c r="G175">
        <v>69999</v>
      </c>
      <c r="H175" t="s">
        <v>19</v>
      </c>
      <c r="I175" t="s">
        <v>12</v>
      </c>
    </row>
    <row r="176" spans="1:9" x14ac:dyDescent="0.35">
      <c r="A176">
        <v>10175</v>
      </c>
      <c r="B176" s="1">
        <v>45466</v>
      </c>
      <c r="C176" t="s">
        <v>9</v>
      </c>
      <c r="D176" t="s">
        <v>193</v>
      </c>
      <c r="E176">
        <v>3</v>
      </c>
      <c r="F176">
        <v>4999</v>
      </c>
      <c r="G176">
        <v>14997</v>
      </c>
      <c r="H176" t="s">
        <v>11</v>
      </c>
      <c r="I176" t="s">
        <v>12</v>
      </c>
    </row>
    <row r="177" spans="1:9" x14ac:dyDescent="0.35">
      <c r="A177">
        <v>10176</v>
      </c>
      <c r="B177" s="1">
        <v>45467</v>
      </c>
      <c r="C177" t="s">
        <v>13</v>
      </c>
      <c r="D177" t="s">
        <v>194</v>
      </c>
      <c r="E177">
        <v>2</v>
      </c>
      <c r="F177">
        <v>4999</v>
      </c>
      <c r="G177">
        <v>9998</v>
      </c>
      <c r="H177" t="s">
        <v>15</v>
      </c>
      <c r="I177" t="s">
        <v>16</v>
      </c>
    </row>
    <row r="178" spans="1:9" x14ac:dyDescent="0.35">
      <c r="A178">
        <v>10177</v>
      </c>
      <c r="B178" s="1">
        <v>45468</v>
      </c>
      <c r="C178" t="s">
        <v>17</v>
      </c>
      <c r="D178" t="s">
        <v>195</v>
      </c>
      <c r="E178">
        <v>4</v>
      </c>
      <c r="F178">
        <v>149</v>
      </c>
      <c r="G178">
        <v>596</v>
      </c>
      <c r="H178" t="s">
        <v>19</v>
      </c>
      <c r="I178" t="s">
        <v>20</v>
      </c>
    </row>
    <row r="179" spans="1:9" x14ac:dyDescent="0.35">
      <c r="A179">
        <v>10178</v>
      </c>
      <c r="B179" s="1">
        <v>45469</v>
      </c>
      <c r="C179" t="s">
        <v>21</v>
      </c>
      <c r="D179" t="s">
        <v>196</v>
      </c>
      <c r="E179">
        <v>3</v>
      </c>
      <c r="F179">
        <v>1199</v>
      </c>
      <c r="G179">
        <v>3597</v>
      </c>
      <c r="H179" t="s">
        <v>11</v>
      </c>
      <c r="I179" t="s">
        <v>12</v>
      </c>
    </row>
    <row r="180" spans="1:9" x14ac:dyDescent="0.35">
      <c r="A180">
        <v>10179</v>
      </c>
      <c r="B180" s="1">
        <v>45470</v>
      </c>
      <c r="C180" t="s">
        <v>23</v>
      </c>
      <c r="D180" t="s">
        <v>197</v>
      </c>
      <c r="E180">
        <v>2</v>
      </c>
      <c r="F180">
        <v>34</v>
      </c>
      <c r="G180">
        <v>68</v>
      </c>
      <c r="H180" t="s">
        <v>15</v>
      </c>
      <c r="I180" t="s">
        <v>16</v>
      </c>
    </row>
    <row r="181" spans="1:9" x14ac:dyDescent="0.35">
      <c r="A181">
        <v>10180</v>
      </c>
      <c r="B181" s="1">
        <v>45471</v>
      </c>
      <c r="C181" t="s">
        <v>25</v>
      </c>
      <c r="D181" t="s">
        <v>198</v>
      </c>
      <c r="E181">
        <v>1</v>
      </c>
      <c r="F181">
        <v>146</v>
      </c>
      <c r="G181">
        <v>146</v>
      </c>
      <c r="H181" t="s">
        <v>19</v>
      </c>
      <c r="I181" t="s">
        <v>12</v>
      </c>
    </row>
    <row r="182" spans="1:9" x14ac:dyDescent="0.35">
      <c r="A182">
        <v>10181</v>
      </c>
      <c r="B182" s="1">
        <v>45472</v>
      </c>
      <c r="C182" t="s">
        <v>9</v>
      </c>
      <c r="D182" t="s">
        <v>199</v>
      </c>
      <c r="E182">
        <v>1</v>
      </c>
      <c r="F182">
        <v>64999</v>
      </c>
      <c r="G182">
        <v>64999</v>
      </c>
      <c r="H182" t="s">
        <v>11</v>
      </c>
      <c r="I182" t="s">
        <v>12</v>
      </c>
    </row>
    <row r="183" spans="1:9" x14ac:dyDescent="0.35">
      <c r="A183">
        <v>10182</v>
      </c>
      <c r="B183" s="1">
        <v>45473</v>
      </c>
      <c r="C183" t="s">
        <v>13</v>
      </c>
      <c r="D183" t="s">
        <v>200</v>
      </c>
      <c r="E183">
        <v>1</v>
      </c>
      <c r="F183">
        <v>39999</v>
      </c>
      <c r="G183">
        <v>39999</v>
      </c>
      <c r="H183" t="s">
        <v>15</v>
      </c>
      <c r="I183" t="s">
        <v>16</v>
      </c>
    </row>
    <row r="184" spans="1:9" x14ac:dyDescent="0.35">
      <c r="A184">
        <v>10183</v>
      </c>
      <c r="B184" s="1">
        <v>45474</v>
      </c>
      <c r="C184" t="s">
        <v>17</v>
      </c>
      <c r="D184" t="s">
        <v>201</v>
      </c>
      <c r="E184">
        <v>3</v>
      </c>
      <c r="F184">
        <v>5999</v>
      </c>
      <c r="G184">
        <v>17997</v>
      </c>
      <c r="H184" t="s">
        <v>19</v>
      </c>
      <c r="I184" t="s">
        <v>20</v>
      </c>
    </row>
    <row r="185" spans="1:9" x14ac:dyDescent="0.35">
      <c r="A185">
        <v>10184</v>
      </c>
      <c r="B185" s="1">
        <v>45475</v>
      </c>
      <c r="C185" t="s">
        <v>21</v>
      </c>
      <c r="D185" t="s">
        <v>202</v>
      </c>
      <c r="E185">
        <v>2</v>
      </c>
      <c r="F185">
        <v>1299</v>
      </c>
      <c r="G185">
        <v>2598</v>
      </c>
      <c r="H185" t="s">
        <v>11</v>
      </c>
      <c r="I185" t="s">
        <v>12</v>
      </c>
    </row>
    <row r="186" spans="1:9" x14ac:dyDescent="0.35">
      <c r="A186">
        <v>10185</v>
      </c>
      <c r="B186" s="1">
        <v>45476</v>
      </c>
      <c r="C186" t="s">
        <v>23</v>
      </c>
      <c r="D186" t="s">
        <v>203</v>
      </c>
      <c r="E186">
        <v>1</v>
      </c>
      <c r="F186">
        <v>190</v>
      </c>
      <c r="G186">
        <v>190</v>
      </c>
      <c r="H186" t="s">
        <v>15</v>
      </c>
      <c r="I186" t="s">
        <v>16</v>
      </c>
    </row>
    <row r="187" spans="1:9" x14ac:dyDescent="0.35">
      <c r="A187">
        <v>10186</v>
      </c>
      <c r="B187" s="1">
        <v>45477</v>
      </c>
      <c r="C187" t="s">
        <v>25</v>
      </c>
      <c r="D187" t="s">
        <v>204</v>
      </c>
      <c r="E187">
        <v>1</v>
      </c>
      <c r="F187">
        <v>49995</v>
      </c>
      <c r="G187">
        <v>49995</v>
      </c>
      <c r="H187" t="s">
        <v>19</v>
      </c>
      <c r="I187" t="s">
        <v>12</v>
      </c>
    </row>
    <row r="188" spans="1:9" x14ac:dyDescent="0.35">
      <c r="A188">
        <v>10187</v>
      </c>
      <c r="B188" s="1">
        <v>45478</v>
      </c>
      <c r="C188" t="s">
        <v>9</v>
      </c>
      <c r="D188" t="s">
        <v>205</v>
      </c>
      <c r="E188">
        <v>1</v>
      </c>
      <c r="F188">
        <v>399</v>
      </c>
      <c r="G188">
        <v>399</v>
      </c>
      <c r="H188" t="s">
        <v>11</v>
      </c>
      <c r="I188" t="s">
        <v>12</v>
      </c>
    </row>
    <row r="189" spans="1:9" x14ac:dyDescent="0.35">
      <c r="A189">
        <v>10188</v>
      </c>
      <c r="B189" s="1">
        <v>45479</v>
      </c>
      <c r="C189" t="s">
        <v>13</v>
      </c>
      <c r="D189" t="s">
        <v>206</v>
      </c>
      <c r="E189">
        <v>2</v>
      </c>
      <c r="F189">
        <v>199</v>
      </c>
      <c r="G189">
        <v>398</v>
      </c>
      <c r="H189" t="s">
        <v>15</v>
      </c>
      <c r="I189" t="s">
        <v>16</v>
      </c>
    </row>
    <row r="190" spans="1:9" x14ac:dyDescent="0.35">
      <c r="A190">
        <v>10189</v>
      </c>
      <c r="B190" s="1">
        <v>45480</v>
      </c>
      <c r="C190" t="s">
        <v>17</v>
      </c>
      <c r="D190" t="s">
        <v>207</v>
      </c>
      <c r="E190">
        <v>4</v>
      </c>
      <c r="F190">
        <v>3499</v>
      </c>
      <c r="G190">
        <v>13996</v>
      </c>
      <c r="H190" t="s">
        <v>19</v>
      </c>
      <c r="I190" t="s">
        <v>20</v>
      </c>
    </row>
    <row r="191" spans="1:9" x14ac:dyDescent="0.35">
      <c r="A191">
        <v>10190</v>
      </c>
      <c r="B191" s="1">
        <v>45481</v>
      </c>
      <c r="C191" t="s">
        <v>21</v>
      </c>
      <c r="D191" t="s">
        <v>108</v>
      </c>
      <c r="E191">
        <v>3</v>
      </c>
      <c r="F191">
        <v>1099</v>
      </c>
      <c r="G191">
        <v>3297</v>
      </c>
      <c r="H191" t="s">
        <v>11</v>
      </c>
      <c r="I191" t="s">
        <v>12</v>
      </c>
    </row>
    <row r="192" spans="1:9" x14ac:dyDescent="0.35">
      <c r="A192">
        <v>10191</v>
      </c>
      <c r="B192" s="1">
        <v>45482</v>
      </c>
      <c r="C192" t="s">
        <v>23</v>
      </c>
      <c r="D192" t="s">
        <v>208</v>
      </c>
      <c r="E192">
        <v>1</v>
      </c>
      <c r="F192">
        <v>18</v>
      </c>
      <c r="G192">
        <v>18</v>
      </c>
      <c r="H192" t="s">
        <v>15</v>
      </c>
      <c r="I192" t="s">
        <v>16</v>
      </c>
    </row>
    <row r="193" spans="1:9" x14ac:dyDescent="0.35">
      <c r="A193">
        <v>10192</v>
      </c>
      <c r="B193" s="1">
        <v>45483</v>
      </c>
      <c r="C193" t="s">
        <v>25</v>
      </c>
      <c r="D193" t="s">
        <v>209</v>
      </c>
      <c r="E193">
        <v>1</v>
      </c>
      <c r="F193">
        <v>16995</v>
      </c>
      <c r="G193">
        <v>16995</v>
      </c>
      <c r="H193" t="s">
        <v>19</v>
      </c>
      <c r="I193" t="s">
        <v>12</v>
      </c>
    </row>
    <row r="194" spans="1:9" x14ac:dyDescent="0.35">
      <c r="A194">
        <v>10193</v>
      </c>
      <c r="B194" s="1">
        <v>45484</v>
      </c>
      <c r="C194" t="s">
        <v>9</v>
      </c>
      <c r="D194" t="s">
        <v>210</v>
      </c>
      <c r="E194">
        <v>1</v>
      </c>
      <c r="F194">
        <v>19999</v>
      </c>
      <c r="G194">
        <v>19999</v>
      </c>
      <c r="H194" t="s">
        <v>11</v>
      </c>
      <c r="I194" t="s">
        <v>12</v>
      </c>
    </row>
    <row r="195" spans="1:9" x14ac:dyDescent="0.35">
      <c r="A195">
        <v>10194</v>
      </c>
      <c r="B195" s="1">
        <v>45485</v>
      </c>
      <c r="C195" t="s">
        <v>13</v>
      </c>
      <c r="D195" t="s">
        <v>211</v>
      </c>
      <c r="E195">
        <v>1</v>
      </c>
      <c r="F195">
        <v>19995</v>
      </c>
      <c r="G195">
        <v>19995</v>
      </c>
      <c r="H195" t="s">
        <v>15</v>
      </c>
      <c r="I195" t="s">
        <v>16</v>
      </c>
    </row>
    <row r="196" spans="1:9" x14ac:dyDescent="0.35">
      <c r="A196">
        <v>10195</v>
      </c>
      <c r="B196" s="1">
        <v>45486</v>
      </c>
      <c r="C196" t="s">
        <v>17</v>
      </c>
      <c r="D196" t="s">
        <v>212</v>
      </c>
      <c r="E196">
        <v>2</v>
      </c>
      <c r="F196">
        <v>17999</v>
      </c>
      <c r="G196">
        <v>35998</v>
      </c>
      <c r="H196" t="s">
        <v>19</v>
      </c>
      <c r="I196" t="s">
        <v>20</v>
      </c>
    </row>
    <row r="197" spans="1:9" x14ac:dyDescent="0.35">
      <c r="A197">
        <v>10196</v>
      </c>
      <c r="B197" s="1">
        <v>45487</v>
      </c>
      <c r="C197" t="s">
        <v>21</v>
      </c>
      <c r="D197" t="s">
        <v>213</v>
      </c>
      <c r="E197">
        <v>2</v>
      </c>
      <c r="F197">
        <v>1199</v>
      </c>
      <c r="G197">
        <v>2398</v>
      </c>
      <c r="H197" t="s">
        <v>11</v>
      </c>
      <c r="I197" t="s">
        <v>12</v>
      </c>
    </row>
    <row r="198" spans="1:9" x14ac:dyDescent="0.35">
      <c r="A198">
        <v>10197</v>
      </c>
      <c r="B198" s="1">
        <v>45488</v>
      </c>
      <c r="C198" t="s">
        <v>23</v>
      </c>
      <c r="D198" t="s">
        <v>214</v>
      </c>
      <c r="E198">
        <v>1</v>
      </c>
      <c r="F198">
        <v>125</v>
      </c>
      <c r="G198">
        <v>125</v>
      </c>
      <c r="H198" t="s">
        <v>15</v>
      </c>
      <c r="I198" t="s">
        <v>16</v>
      </c>
    </row>
    <row r="199" spans="1:9" x14ac:dyDescent="0.35">
      <c r="A199">
        <v>10198</v>
      </c>
      <c r="B199" s="1">
        <v>45489</v>
      </c>
      <c r="C199" t="s">
        <v>25</v>
      </c>
      <c r="D199" t="s">
        <v>215</v>
      </c>
      <c r="E199">
        <v>1</v>
      </c>
      <c r="F199">
        <v>44999</v>
      </c>
      <c r="G199">
        <v>44999</v>
      </c>
      <c r="H199" t="s">
        <v>19</v>
      </c>
      <c r="I199" t="s">
        <v>12</v>
      </c>
    </row>
    <row r="200" spans="1:9" x14ac:dyDescent="0.35">
      <c r="A200">
        <v>10199</v>
      </c>
      <c r="B200" s="1">
        <v>45490</v>
      </c>
      <c r="C200" t="s">
        <v>9</v>
      </c>
      <c r="D200" t="s">
        <v>216</v>
      </c>
      <c r="E200">
        <v>2</v>
      </c>
      <c r="F200">
        <v>179</v>
      </c>
      <c r="G200">
        <v>358</v>
      </c>
      <c r="H200" t="s">
        <v>11</v>
      </c>
      <c r="I200" t="s">
        <v>12</v>
      </c>
    </row>
    <row r="201" spans="1:9" x14ac:dyDescent="0.35">
      <c r="A201">
        <v>10200</v>
      </c>
      <c r="B201" s="1">
        <v>45491</v>
      </c>
      <c r="C201" t="s">
        <v>13</v>
      </c>
      <c r="D201" t="s">
        <v>217</v>
      </c>
      <c r="E201">
        <v>1</v>
      </c>
      <c r="F201">
        <v>9995</v>
      </c>
      <c r="G201">
        <v>9995</v>
      </c>
      <c r="H201" t="s">
        <v>15</v>
      </c>
      <c r="I201" t="s">
        <v>16</v>
      </c>
    </row>
    <row r="202" spans="1:9" x14ac:dyDescent="0.35">
      <c r="A202">
        <v>10201</v>
      </c>
      <c r="B202" s="1">
        <v>45492</v>
      </c>
      <c r="C202" t="s">
        <v>17</v>
      </c>
      <c r="D202" t="s">
        <v>218</v>
      </c>
      <c r="E202">
        <v>3</v>
      </c>
      <c r="F202">
        <v>5999</v>
      </c>
      <c r="G202">
        <v>17997</v>
      </c>
      <c r="H202" t="s">
        <v>19</v>
      </c>
      <c r="I202" t="s">
        <v>20</v>
      </c>
    </row>
    <row r="203" spans="1:9" x14ac:dyDescent="0.35">
      <c r="A203">
        <v>10202</v>
      </c>
      <c r="B203" s="1">
        <v>45493</v>
      </c>
      <c r="C203" t="s">
        <v>21</v>
      </c>
      <c r="D203" t="s">
        <v>219</v>
      </c>
      <c r="E203">
        <v>2</v>
      </c>
      <c r="F203">
        <v>1499</v>
      </c>
      <c r="G203">
        <v>2998</v>
      </c>
      <c r="H203" t="s">
        <v>11</v>
      </c>
      <c r="I203" t="s">
        <v>12</v>
      </c>
    </row>
    <row r="204" spans="1:9" x14ac:dyDescent="0.35">
      <c r="A204">
        <v>10203</v>
      </c>
      <c r="B204" s="1">
        <v>45494</v>
      </c>
      <c r="C204" t="s">
        <v>23</v>
      </c>
      <c r="D204" t="s">
        <v>220</v>
      </c>
      <c r="E204">
        <v>1</v>
      </c>
      <c r="F204">
        <v>52</v>
      </c>
      <c r="G204">
        <v>52</v>
      </c>
      <c r="H204" t="s">
        <v>15</v>
      </c>
      <c r="I204" t="s">
        <v>16</v>
      </c>
    </row>
    <row r="205" spans="1:9" x14ac:dyDescent="0.35">
      <c r="A205">
        <v>10204</v>
      </c>
      <c r="B205" s="1">
        <v>45495</v>
      </c>
      <c r="C205" t="s">
        <v>25</v>
      </c>
      <c r="D205" t="s">
        <v>221</v>
      </c>
      <c r="E205">
        <v>1</v>
      </c>
      <c r="F205">
        <v>39999</v>
      </c>
      <c r="G205">
        <v>39999</v>
      </c>
      <c r="H205" t="s">
        <v>19</v>
      </c>
      <c r="I205" t="s">
        <v>12</v>
      </c>
    </row>
    <row r="206" spans="1:9" x14ac:dyDescent="0.35">
      <c r="A206">
        <v>10205</v>
      </c>
      <c r="B206" s="1">
        <v>45496</v>
      </c>
      <c r="C206" t="s">
        <v>9</v>
      </c>
      <c r="D206" t="s">
        <v>222</v>
      </c>
      <c r="E206">
        <v>1</v>
      </c>
      <c r="F206">
        <v>29999</v>
      </c>
      <c r="G206">
        <v>29999</v>
      </c>
      <c r="H206" t="s">
        <v>11</v>
      </c>
      <c r="I206" t="s">
        <v>12</v>
      </c>
    </row>
    <row r="207" spans="1:9" x14ac:dyDescent="0.35">
      <c r="A207">
        <v>10206</v>
      </c>
      <c r="B207" s="1">
        <v>45497</v>
      </c>
      <c r="C207" t="s">
        <v>13</v>
      </c>
      <c r="D207" t="s">
        <v>223</v>
      </c>
      <c r="E207">
        <v>1</v>
      </c>
      <c r="F207">
        <v>37999</v>
      </c>
      <c r="G207">
        <v>37999</v>
      </c>
      <c r="H207" t="s">
        <v>15</v>
      </c>
      <c r="I207" t="s">
        <v>16</v>
      </c>
    </row>
    <row r="208" spans="1:9" x14ac:dyDescent="0.35">
      <c r="A208">
        <v>10207</v>
      </c>
      <c r="B208" s="1">
        <v>45498</v>
      </c>
      <c r="C208" t="s">
        <v>17</v>
      </c>
      <c r="D208" t="s">
        <v>224</v>
      </c>
      <c r="E208">
        <v>2</v>
      </c>
      <c r="F208">
        <v>98</v>
      </c>
      <c r="G208">
        <v>196</v>
      </c>
      <c r="H208" t="s">
        <v>19</v>
      </c>
      <c r="I208" t="s">
        <v>20</v>
      </c>
    </row>
    <row r="209" spans="1:9" x14ac:dyDescent="0.35">
      <c r="A209">
        <v>10208</v>
      </c>
      <c r="B209" s="1">
        <v>45499</v>
      </c>
      <c r="C209" t="s">
        <v>21</v>
      </c>
      <c r="D209" t="s">
        <v>225</v>
      </c>
      <c r="E209">
        <v>3</v>
      </c>
      <c r="F209">
        <v>1699</v>
      </c>
      <c r="G209">
        <v>5097</v>
      </c>
      <c r="H209" t="s">
        <v>11</v>
      </c>
      <c r="I209" t="s">
        <v>12</v>
      </c>
    </row>
    <row r="210" spans="1:9" x14ac:dyDescent="0.35">
      <c r="A210">
        <v>10209</v>
      </c>
      <c r="B210" s="1">
        <v>45500</v>
      </c>
      <c r="C210" t="s">
        <v>23</v>
      </c>
      <c r="D210" t="s">
        <v>226</v>
      </c>
      <c r="E210">
        <v>1</v>
      </c>
      <c r="F210">
        <v>79</v>
      </c>
      <c r="G210">
        <v>79</v>
      </c>
      <c r="H210" t="s">
        <v>15</v>
      </c>
      <c r="I210" t="s">
        <v>16</v>
      </c>
    </row>
    <row r="211" spans="1:9" x14ac:dyDescent="0.35">
      <c r="A211">
        <v>10210</v>
      </c>
      <c r="B211" s="1">
        <v>45501</v>
      </c>
      <c r="C211" t="s">
        <v>25</v>
      </c>
      <c r="D211" t="s">
        <v>227</v>
      </c>
      <c r="E211">
        <v>1</v>
      </c>
      <c r="F211">
        <v>129</v>
      </c>
      <c r="G211">
        <v>129</v>
      </c>
      <c r="H211" t="s">
        <v>19</v>
      </c>
      <c r="I211" t="s">
        <v>12</v>
      </c>
    </row>
    <row r="212" spans="1:9" x14ac:dyDescent="0.35">
      <c r="A212">
        <v>10211</v>
      </c>
      <c r="B212" s="1">
        <v>45502</v>
      </c>
      <c r="C212" t="s">
        <v>9</v>
      </c>
      <c r="D212" t="s">
        <v>228</v>
      </c>
      <c r="E212">
        <v>1</v>
      </c>
      <c r="F212">
        <v>74999</v>
      </c>
      <c r="G212">
        <v>74999</v>
      </c>
      <c r="H212" t="s">
        <v>11</v>
      </c>
      <c r="I212" t="s">
        <v>12</v>
      </c>
    </row>
    <row r="213" spans="1:9" x14ac:dyDescent="0.35">
      <c r="A213">
        <v>10212</v>
      </c>
      <c r="B213" s="1">
        <v>45503</v>
      </c>
      <c r="C213" t="s">
        <v>13</v>
      </c>
      <c r="D213" t="s">
        <v>34</v>
      </c>
      <c r="E213">
        <v>2</v>
      </c>
      <c r="F213">
        <v>16999</v>
      </c>
      <c r="G213">
        <v>33998</v>
      </c>
      <c r="H213" t="s">
        <v>15</v>
      </c>
      <c r="I213" t="s">
        <v>16</v>
      </c>
    </row>
    <row r="214" spans="1:9" x14ac:dyDescent="0.35">
      <c r="A214">
        <v>10213</v>
      </c>
      <c r="B214" s="1">
        <v>45504</v>
      </c>
      <c r="C214" t="s">
        <v>17</v>
      </c>
      <c r="D214" t="s">
        <v>229</v>
      </c>
      <c r="E214">
        <v>4</v>
      </c>
      <c r="F214">
        <v>99</v>
      </c>
      <c r="G214">
        <v>396</v>
      </c>
      <c r="H214" t="s">
        <v>19</v>
      </c>
      <c r="I214" t="s">
        <v>20</v>
      </c>
    </row>
    <row r="215" spans="1:9" x14ac:dyDescent="0.35">
      <c r="A215">
        <v>10214</v>
      </c>
      <c r="B215" s="1">
        <v>45505</v>
      </c>
      <c r="C215" t="s">
        <v>21</v>
      </c>
      <c r="D215" t="s">
        <v>190</v>
      </c>
      <c r="E215">
        <v>3</v>
      </c>
      <c r="F215">
        <v>1099</v>
      </c>
      <c r="G215">
        <v>3297</v>
      </c>
      <c r="H215" t="s">
        <v>11</v>
      </c>
      <c r="I215" t="s">
        <v>12</v>
      </c>
    </row>
    <row r="216" spans="1:9" x14ac:dyDescent="0.35">
      <c r="A216">
        <v>10215</v>
      </c>
      <c r="B216" s="1">
        <v>45506</v>
      </c>
      <c r="C216" t="s">
        <v>23</v>
      </c>
      <c r="D216" t="s">
        <v>230</v>
      </c>
      <c r="E216">
        <v>2</v>
      </c>
      <c r="F216">
        <v>29</v>
      </c>
      <c r="G216">
        <v>58</v>
      </c>
      <c r="H216" t="s">
        <v>15</v>
      </c>
      <c r="I216" t="s">
        <v>16</v>
      </c>
    </row>
    <row r="217" spans="1:9" x14ac:dyDescent="0.35">
      <c r="A217">
        <v>10216</v>
      </c>
      <c r="B217" s="1">
        <v>45507</v>
      </c>
      <c r="C217" t="s">
        <v>25</v>
      </c>
      <c r="D217" t="s">
        <v>231</v>
      </c>
      <c r="E217">
        <v>1</v>
      </c>
      <c r="F217">
        <v>34999</v>
      </c>
      <c r="G217">
        <v>34999</v>
      </c>
      <c r="H217" t="s">
        <v>19</v>
      </c>
      <c r="I217" t="s">
        <v>12</v>
      </c>
    </row>
    <row r="218" spans="1:9" x14ac:dyDescent="0.35">
      <c r="A218">
        <v>10217</v>
      </c>
      <c r="B218" s="1">
        <v>45508</v>
      </c>
      <c r="C218" t="s">
        <v>9</v>
      </c>
      <c r="D218" t="s">
        <v>232</v>
      </c>
      <c r="E218">
        <v>1</v>
      </c>
      <c r="F218">
        <v>2399</v>
      </c>
      <c r="G218">
        <v>2399</v>
      </c>
      <c r="H218" t="s">
        <v>11</v>
      </c>
      <c r="I218" t="s">
        <v>12</v>
      </c>
    </row>
    <row r="219" spans="1:9" x14ac:dyDescent="0.35">
      <c r="A219">
        <v>10218</v>
      </c>
      <c r="B219" s="1">
        <v>45509</v>
      </c>
      <c r="C219" t="s">
        <v>13</v>
      </c>
      <c r="D219" t="s">
        <v>233</v>
      </c>
      <c r="E219">
        <v>1</v>
      </c>
      <c r="F219">
        <v>44999</v>
      </c>
      <c r="G219">
        <v>44999</v>
      </c>
      <c r="H219" t="s">
        <v>15</v>
      </c>
      <c r="I219" t="s">
        <v>16</v>
      </c>
    </row>
    <row r="220" spans="1:9" x14ac:dyDescent="0.35">
      <c r="A220">
        <v>10219</v>
      </c>
      <c r="B220" s="1">
        <v>45510</v>
      </c>
      <c r="C220" t="s">
        <v>17</v>
      </c>
      <c r="D220" t="s">
        <v>234</v>
      </c>
      <c r="E220">
        <v>3</v>
      </c>
      <c r="F220">
        <v>4999</v>
      </c>
      <c r="G220">
        <v>14997</v>
      </c>
      <c r="H220" t="s">
        <v>19</v>
      </c>
      <c r="I220" t="s">
        <v>20</v>
      </c>
    </row>
    <row r="221" spans="1:9" x14ac:dyDescent="0.35">
      <c r="A221">
        <v>10220</v>
      </c>
      <c r="B221" s="1">
        <v>45511</v>
      </c>
      <c r="C221" t="s">
        <v>21</v>
      </c>
      <c r="D221" t="s">
        <v>235</v>
      </c>
      <c r="E221">
        <v>2</v>
      </c>
      <c r="F221">
        <v>1299</v>
      </c>
      <c r="G221">
        <v>2598</v>
      </c>
      <c r="H221" t="s">
        <v>11</v>
      </c>
      <c r="I221" t="s">
        <v>12</v>
      </c>
    </row>
    <row r="222" spans="1:9" x14ac:dyDescent="0.35">
      <c r="A222">
        <v>10221</v>
      </c>
      <c r="B222" s="1">
        <v>45512</v>
      </c>
      <c r="C222" t="s">
        <v>23</v>
      </c>
      <c r="D222" t="s">
        <v>236</v>
      </c>
      <c r="E222">
        <v>1</v>
      </c>
      <c r="F222">
        <v>27</v>
      </c>
      <c r="G222">
        <v>27</v>
      </c>
      <c r="H222" t="s">
        <v>15</v>
      </c>
      <c r="I222" t="s">
        <v>16</v>
      </c>
    </row>
    <row r="223" spans="1:9" x14ac:dyDescent="0.35">
      <c r="A223">
        <v>10222</v>
      </c>
      <c r="B223" s="1">
        <v>45513</v>
      </c>
      <c r="C223" t="s">
        <v>25</v>
      </c>
      <c r="D223" t="s">
        <v>39</v>
      </c>
      <c r="E223">
        <v>1</v>
      </c>
      <c r="F223">
        <v>59999</v>
      </c>
      <c r="G223">
        <v>59999</v>
      </c>
      <c r="H223" t="s">
        <v>19</v>
      </c>
      <c r="I223" t="s">
        <v>12</v>
      </c>
    </row>
    <row r="224" spans="1:9" x14ac:dyDescent="0.35">
      <c r="A224">
        <v>10223</v>
      </c>
      <c r="B224" s="1">
        <v>45514</v>
      </c>
      <c r="C224" t="s">
        <v>9</v>
      </c>
      <c r="D224" t="s">
        <v>237</v>
      </c>
      <c r="E224">
        <v>4</v>
      </c>
      <c r="F224">
        <v>4999</v>
      </c>
      <c r="G224">
        <v>19996</v>
      </c>
      <c r="H224" t="s">
        <v>11</v>
      </c>
      <c r="I224" t="s">
        <v>12</v>
      </c>
    </row>
    <row r="225" spans="1:9" x14ac:dyDescent="0.35">
      <c r="A225">
        <v>10224</v>
      </c>
      <c r="B225" s="1">
        <v>45515</v>
      </c>
      <c r="C225" t="s">
        <v>13</v>
      </c>
      <c r="D225" t="s">
        <v>238</v>
      </c>
      <c r="E225">
        <v>2</v>
      </c>
      <c r="F225">
        <v>22999</v>
      </c>
      <c r="G225">
        <v>45998</v>
      </c>
      <c r="H225" t="s">
        <v>15</v>
      </c>
      <c r="I225" t="s">
        <v>16</v>
      </c>
    </row>
    <row r="226" spans="1:9" x14ac:dyDescent="0.35">
      <c r="A226">
        <v>10225</v>
      </c>
      <c r="B226" s="1">
        <v>45516</v>
      </c>
      <c r="C226" t="s">
        <v>17</v>
      </c>
      <c r="D226" t="s">
        <v>239</v>
      </c>
      <c r="E226">
        <v>2</v>
      </c>
      <c r="F226">
        <v>4499</v>
      </c>
      <c r="G226">
        <v>8998</v>
      </c>
      <c r="H226" t="s">
        <v>19</v>
      </c>
      <c r="I226" t="s">
        <v>20</v>
      </c>
    </row>
    <row r="227" spans="1:9" x14ac:dyDescent="0.35">
      <c r="A227">
        <v>10226</v>
      </c>
      <c r="B227" s="1">
        <v>45517</v>
      </c>
      <c r="C227" t="s">
        <v>21</v>
      </c>
      <c r="D227" t="s">
        <v>72</v>
      </c>
      <c r="E227">
        <v>3</v>
      </c>
      <c r="F227">
        <v>2699</v>
      </c>
      <c r="G227">
        <v>8097</v>
      </c>
      <c r="H227" t="s">
        <v>11</v>
      </c>
      <c r="I227" t="s">
        <v>12</v>
      </c>
    </row>
    <row r="228" spans="1:9" x14ac:dyDescent="0.35">
      <c r="A228">
        <v>10227</v>
      </c>
      <c r="B228" s="1">
        <v>45518</v>
      </c>
      <c r="C228" t="s">
        <v>23</v>
      </c>
      <c r="D228" t="s">
        <v>240</v>
      </c>
      <c r="E228">
        <v>1</v>
      </c>
      <c r="F228">
        <v>67</v>
      </c>
      <c r="G228">
        <v>67</v>
      </c>
      <c r="H228" t="s">
        <v>15</v>
      </c>
      <c r="I228" t="s">
        <v>16</v>
      </c>
    </row>
    <row r="229" spans="1:9" x14ac:dyDescent="0.35">
      <c r="A229">
        <v>10228</v>
      </c>
      <c r="B229" s="1">
        <v>45519</v>
      </c>
      <c r="C229" t="s">
        <v>25</v>
      </c>
      <c r="D229" t="s">
        <v>241</v>
      </c>
      <c r="E229">
        <v>2</v>
      </c>
      <c r="F229">
        <v>14995</v>
      </c>
      <c r="G229">
        <v>2999</v>
      </c>
      <c r="H229" t="s">
        <v>19</v>
      </c>
      <c r="I229" t="s">
        <v>12</v>
      </c>
    </row>
    <row r="230" spans="1:9" x14ac:dyDescent="0.35">
      <c r="A230">
        <v>10229</v>
      </c>
      <c r="B230" s="1">
        <v>45520</v>
      </c>
      <c r="C230" t="s">
        <v>9</v>
      </c>
      <c r="D230" t="s">
        <v>242</v>
      </c>
      <c r="E230">
        <v>1</v>
      </c>
      <c r="F230">
        <v>169</v>
      </c>
      <c r="G230">
        <v>169</v>
      </c>
      <c r="H230" t="s">
        <v>11</v>
      </c>
      <c r="I230" t="s">
        <v>12</v>
      </c>
    </row>
    <row r="231" spans="1:9" x14ac:dyDescent="0.35">
      <c r="A231">
        <v>10230</v>
      </c>
      <c r="B231" s="1">
        <v>45521</v>
      </c>
      <c r="C231" t="s">
        <v>13</v>
      </c>
      <c r="D231" t="s">
        <v>243</v>
      </c>
      <c r="E231">
        <v>1</v>
      </c>
      <c r="F231">
        <v>599</v>
      </c>
      <c r="G231">
        <v>599</v>
      </c>
      <c r="H231" t="s">
        <v>15</v>
      </c>
      <c r="I231" t="s">
        <v>16</v>
      </c>
    </row>
    <row r="232" spans="1:9" x14ac:dyDescent="0.35">
      <c r="A232">
        <v>10231</v>
      </c>
      <c r="B232" s="1">
        <v>45522</v>
      </c>
      <c r="C232" t="s">
        <v>17</v>
      </c>
      <c r="D232" t="s">
        <v>244</v>
      </c>
      <c r="E232">
        <v>4</v>
      </c>
      <c r="F232">
        <v>6499</v>
      </c>
      <c r="G232">
        <v>25996</v>
      </c>
      <c r="H232" t="s">
        <v>19</v>
      </c>
      <c r="I232" t="s">
        <v>20</v>
      </c>
    </row>
    <row r="233" spans="1:9" x14ac:dyDescent="0.35">
      <c r="A233">
        <v>10232</v>
      </c>
      <c r="B233" s="1">
        <v>45523</v>
      </c>
      <c r="C233" t="s">
        <v>21</v>
      </c>
      <c r="D233" t="s">
        <v>30</v>
      </c>
      <c r="E233">
        <v>2</v>
      </c>
      <c r="F233">
        <v>999</v>
      </c>
      <c r="G233">
        <v>1998</v>
      </c>
      <c r="H233" t="s">
        <v>11</v>
      </c>
      <c r="I233" t="s">
        <v>12</v>
      </c>
    </row>
    <row r="234" spans="1:9" x14ac:dyDescent="0.35">
      <c r="A234">
        <v>10233</v>
      </c>
      <c r="B234" s="1">
        <v>45524</v>
      </c>
      <c r="C234" t="s">
        <v>23</v>
      </c>
      <c r="D234" t="s">
        <v>245</v>
      </c>
      <c r="E234">
        <v>1</v>
      </c>
      <c r="F234">
        <v>24</v>
      </c>
      <c r="G234">
        <v>24</v>
      </c>
      <c r="H234" t="s">
        <v>15</v>
      </c>
      <c r="I234" t="s">
        <v>16</v>
      </c>
    </row>
    <row r="235" spans="1:9" x14ac:dyDescent="0.35">
      <c r="A235">
        <v>10234</v>
      </c>
      <c r="B235" s="1">
        <v>45525</v>
      </c>
      <c r="C235" t="s">
        <v>25</v>
      </c>
      <c r="D235" t="s">
        <v>246</v>
      </c>
      <c r="E235">
        <v>3</v>
      </c>
      <c r="F235">
        <v>3295</v>
      </c>
      <c r="G235">
        <v>9885</v>
      </c>
      <c r="H235" t="s">
        <v>19</v>
      </c>
      <c r="I235" t="s">
        <v>12</v>
      </c>
    </row>
    <row r="236" spans="1:9" x14ac:dyDescent="0.35">
      <c r="A236">
        <v>10235</v>
      </c>
      <c r="B236" s="1">
        <v>45526</v>
      </c>
      <c r="C236" t="s">
        <v>9</v>
      </c>
      <c r="D236" t="s">
        <v>247</v>
      </c>
      <c r="E236">
        <v>1</v>
      </c>
      <c r="F236">
        <v>299</v>
      </c>
      <c r="G236">
        <v>299</v>
      </c>
      <c r="H236" t="s">
        <v>11</v>
      </c>
      <c r="I236" t="s">
        <v>12</v>
      </c>
    </row>
    <row r="237" spans="1:9" x14ac:dyDescent="0.35">
      <c r="A237">
        <v>10236</v>
      </c>
      <c r="B237" s="1">
        <v>45527</v>
      </c>
      <c r="C237" t="s">
        <v>13</v>
      </c>
      <c r="D237" t="s">
        <v>248</v>
      </c>
      <c r="E237">
        <v>1</v>
      </c>
      <c r="F237">
        <v>15999</v>
      </c>
      <c r="G237">
        <v>15999</v>
      </c>
      <c r="H237" t="s">
        <v>15</v>
      </c>
      <c r="I237" t="s">
        <v>16</v>
      </c>
    </row>
    <row r="238" spans="1:9" x14ac:dyDescent="0.35">
      <c r="A238">
        <v>10237</v>
      </c>
      <c r="B238" s="1">
        <v>45528</v>
      </c>
      <c r="C238" t="s">
        <v>17</v>
      </c>
      <c r="D238" t="s">
        <v>249</v>
      </c>
      <c r="E238">
        <v>3</v>
      </c>
      <c r="F238">
        <v>90</v>
      </c>
      <c r="G238">
        <v>270</v>
      </c>
      <c r="H238" t="s">
        <v>19</v>
      </c>
      <c r="I238" t="s">
        <v>20</v>
      </c>
    </row>
    <row r="239" spans="1:9" x14ac:dyDescent="0.35">
      <c r="A239">
        <v>10238</v>
      </c>
      <c r="B239" s="1">
        <v>45529</v>
      </c>
      <c r="C239" t="s">
        <v>21</v>
      </c>
      <c r="D239" t="s">
        <v>250</v>
      </c>
      <c r="E239">
        <v>3</v>
      </c>
      <c r="F239">
        <v>1099</v>
      </c>
      <c r="G239">
        <v>3297</v>
      </c>
      <c r="H239" t="s">
        <v>11</v>
      </c>
      <c r="I239" t="s">
        <v>12</v>
      </c>
    </row>
    <row r="240" spans="1:9" x14ac:dyDescent="0.35">
      <c r="A240">
        <v>10239</v>
      </c>
      <c r="B240" s="1">
        <v>45530</v>
      </c>
      <c r="C240" t="s">
        <v>23</v>
      </c>
      <c r="D240" t="s">
        <v>251</v>
      </c>
      <c r="E240">
        <v>1</v>
      </c>
      <c r="F240">
        <v>55</v>
      </c>
      <c r="G240">
        <v>55</v>
      </c>
      <c r="H240" t="s">
        <v>15</v>
      </c>
      <c r="I240" t="s">
        <v>16</v>
      </c>
    </row>
    <row r="241" spans="1:9" x14ac:dyDescent="0.35">
      <c r="A241">
        <v>10240</v>
      </c>
      <c r="B241" s="1">
        <v>45531</v>
      </c>
      <c r="C241" t="s">
        <v>25</v>
      </c>
      <c r="D241" t="s">
        <v>252</v>
      </c>
      <c r="E241">
        <v>2</v>
      </c>
      <c r="F241">
        <v>2999</v>
      </c>
      <c r="G241">
        <v>5998</v>
      </c>
      <c r="H241" t="s">
        <v>19</v>
      </c>
      <c r="I24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932B-71EF-4ACA-B95D-9038977E828F}">
  <dimension ref="A1:U241"/>
  <sheetViews>
    <sheetView tabSelected="1" topLeftCell="A13" zoomScale="40" zoomScaleNormal="40" workbookViewId="0">
      <selection activeCell="U55" sqref="U55"/>
    </sheetView>
  </sheetViews>
  <sheetFormatPr defaultRowHeight="14.5" x14ac:dyDescent="0.35"/>
  <cols>
    <col min="1" max="1" width="15.1796875" style="2" bestFit="1" customWidth="1"/>
    <col min="2" max="2" width="15.1796875" style="2" customWidth="1"/>
    <col min="3" max="3" width="13.26953125" style="3" bestFit="1" customWidth="1"/>
    <col min="4" max="4" width="22" style="2" customWidth="1"/>
    <col min="5" max="5" width="48.453125" style="2" customWidth="1"/>
    <col min="6" max="6" width="11.6328125" style="2" customWidth="1"/>
    <col min="7" max="7" width="13.7265625" style="4" customWidth="1"/>
    <col min="8" max="8" width="14.90625" style="4" bestFit="1" customWidth="1"/>
    <col min="9" max="9" width="12.453125" style="2" bestFit="1" customWidth="1"/>
    <col min="10" max="10" width="17.1796875" style="2" bestFit="1" customWidth="1"/>
    <col min="12" max="12" width="16.26953125" bestFit="1" customWidth="1"/>
    <col min="13" max="13" width="15.26953125" bestFit="1" customWidth="1"/>
    <col min="15" max="15" width="15" bestFit="1" customWidth="1"/>
    <col min="16" max="16" width="15.26953125" bestFit="1" customWidth="1"/>
  </cols>
  <sheetData>
    <row r="1" spans="1:21" x14ac:dyDescent="0.35">
      <c r="A1" s="2" t="s">
        <v>0</v>
      </c>
      <c r="B1" s="2" t="s">
        <v>253</v>
      </c>
      <c r="C1" s="3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4" t="s">
        <v>6</v>
      </c>
      <c r="I1" s="2" t="s">
        <v>7</v>
      </c>
      <c r="J1" s="2" t="s">
        <v>8</v>
      </c>
    </row>
    <row r="2" spans="1:21" x14ac:dyDescent="0.35">
      <c r="A2" s="2">
        <v>10001</v>
      </c>
      <c r="B2" s="3" t="str">
        <f t="shared" ref="B2:B65" si="0">PROPER(TEXT(C2,"MMMM"))</f>
        <v>Janeiro</v>
      </c>
      <c r="C2" s="3">
        <v>45292</v>
      </c>
      <c r="D2" s="2" t="s">
        <v>9</v>
      </c>
      <c r="E2" s="2" t="s">
        <v>10</v>
      </c>
      <c r="F2" s="2">
        <v>2</v>
      </c>
      <c r="G2" s="4">
        <v>99999</v>
      </c>
      <c r="H2" s="4">
        <v>199998</v>
      </c>
      <c r="I2" s="2" t="s">
        <v>11</v>
      </c>
      <c r="J2" s="2" t="s">
        <v>12</v>
      </c>
    </row>
    <row r="3" spans="1:21" x14ac:dyDescent="0.35">
      <c r="A3" s="2">
        <v>10002</v>
      </c>
      <c r="B3" s="3" t="str">
        <f t="shared" si="0"/>
        <v>Janeiro</v>
      </c>
      <c r="C3" s="3">
        <v>45293</v>
      </c>
      <c r="D3" s="2" t="s">
        <v>13</v>
      </c>
      <c r="E3" s="2" t="s">
        <v>14</v>
      </c>
      <c r="F3" s="2">
        <v>1</v>
      </c>
      <c r="G3" s="4">
        <v>49999</v>
      </c>
      <c r="H3" s="4">
        <v>49999</v>
      </c>
      <c r="I3" s="2" t="s">
        <v>15</v>
      </c>
      <c r="J3" s="2" t="s">
        <v>16</v>
      </c>
    </row>
    <row r="4" spans="1:21" x14ac:dyDescent="0.35">
      <c r="A4" s="2">
        <v>10003</v>
      </c>
      <c r="B4" s="3" t="str">
        <f t="shared" si="0"/>
        <v>Janeiro</v>
      </c>
      <c r="C4" s="3">
        <v>45294</v>
      </c>
      <c r="D4" s="2" t="s">
        <v>17</v>
      </c>
      <c r="E4" s="2" t="s">
        <v>18</v>
      </c>
      <c r="F4" s="2">
        <v>3</v>
      </c>
      <c r="G4" s="4">
        <v>6999</v>
      </c>
      <c r="H4" s="4">
        <v>20997</v>
      </c>
      <c r="I4" s="2" t="s">
        <v>19</v>
      </c>
      <c r="J4" s="2" t="s">
        <v>20</v>
      </c>
    </row>
    <row r="5" spans="1:21" x14ac:dyDescent="0.35">
      <c r="A5" s="2">
        <v>10004</v>
      </c>
      <c r="B5" s="3" t="str">
        <f t="shared" si="0"/>
        <v>Janeiro</v>
      </c>
      <c r="C5" s="3">
        <v>45295</v>
      </c>
      <c r="D5" s="2" t="s">
        <v>21</v>
      </c>
      <c r="E5" s="2" t="s">
        <v>22</v>
      </c>
      <c r="F5" s="2">
        <v>4</v>
      </c>
      <c r="G5" s="4">
        <v>1599</v>
      </c>
      <c r="H5" s="4">
        <v>6396</v>
      </c>
      <c r="I5" s="2" t="s">
        <v>11</v>
      </c>
      <c r="J5" s="2" t="s">
        <v>12</v>
      </c>
    </row>
    <row r="6" spans="1:21" x14ac:dyDescent="0.35">
      <c r="A6" s="2">
        <v>10005</v>
      </c>
      <c r="B6" s="3" t="str">
        <f t="shared" si="0"/>
        <v>Janeiro</v>
      </c>
      <c r="C6" s="3">
        <v>45296</v>
      </c>
      <c r="D6" s="2" t="s">
        <v>23</v>
      </c>
      <c r="E6" s="2" t="s">
        <v>24</v>
      </c>
      <c r="F6" s="2">
        <v>1</v>
      </c>
      <c r="G6" s="4">
        <v>8999</v>
      </c>
      <c r="H6" s="4">
        <v>8999</v>
      </c>
      <c r="I6" s="2" t="s">
        <v>15</v>
      </c>
      <c r="J6" s="2" t="s">
        <v>16</v>
      </c>
    </row>
    <row r="7" spans="1:21" x14ac:dyDescent="0.35">
      <c r="A7" s="2">
        <v>10006</v>
      </c>
      <c r="B7" s="3" t="str">
        <f t="shared" si="0"/>
        <v>Janeiro</v>
      </c>
      <c r="C7" s="3">
        <v>45297</v>
      </c>
      <c r="D7" s="2" t="s">
        <v>25</v>
      </c>
      <c r="E7" s="2" t="s">
        <v>26</v>
      </c>
      <c r="F7" s="2">
        <v>5</v>
      </c>
      <c r="G7" s="4">
        <v>2999</v>
      </c>
      <c r="H7" s="4">
        <v>14995</v>
      </c>
      <c r="I7" s="2" t="s">
        <v>19</v>
      </c>
      <c r="J7" s="2" t="s">
        <v>12</v>
      </c>
    </row>
    <row r="8" spans="1:21" x14ac:dyDescent="0.35">
      <c r="A8" s="2">
        <v>10007</v>
      </c>
      <c r="B8" s="3" t="str">
        <f t="shared" si="0"/>
        <v>Janeiro</v>
      </c>
      <c r="C8" s="3">
        <v>45298</v>
      </c>
      <c r="D8" s="2" t="s">
        <v>9</v>
      </c>
      <c r="E8" s="2" t="s">
        <v>27</v>
      </c>
      <c r="F8" s="2">
        <v>1</v>
      </c>
      <c r="G8" s="4">
        <v>249999</v>
      </c>
      <c r="H8" s="4">
        <v>249999</v>
      </c>
      <c r="I8" s="2" t="s">
        <v>11</v>
      </c>
      <c r="J8" s="2" t="s">
        <v>12</v>
      </c>
    </row>
    <row r="9" spans="1:21" x14ac:dyDescent="0.35">
      <c r="A9" s="2">
        <v>10008</v>
      </c>
      <c r="B9" s="3" t="str">
        <f t="shared" si="0"/>
        <v>Janeiro</v>
      </c>
      <c r="C9" s="3">
        <v>45299</v>
      </c>
      <c r="D9" s="2" t="s">
        <v>13</v>
      </c>
      <c r="E9" s="2" t="s">
        <v>28</v>
      </c>
      <c r="F9" s="2">
        <v>2</v>
      </c>
      <c r="G9" s="4">
        <v>59999</v>
      </c>
      <c r="H9" s="4">
        <v>119998</v>
      </c>
      <c r="I9" s="2" t="s">
        <v>15</v>
      </c>
      <c r="J9" s="2" t="s">
        <v>16</v>
      </c>
    </row>
    <row r="10" spans="1:21" x14ac:dyDescent="0.35">
      <c r="A10" s="2">
        <v>10009</v>
      </c>
      <c r="B10" s="3" t="str">
        <f t="shared" si="0"/>
        <v>Janeiro</v>
      </c>
      <c r="C10" s="3">
        <v>45300</v>
      </c>
      <c r="D10" s="2" t="s">
        <v>17</v>
      </c>
      <c r="E10" s="2" t="s">
        <v>29</v>
      </c>
      <c r="F10" s="2">
        <v>6</v>
      </c>
      <c r="G10" s="4">
        <v>8999</v>
      </c>
      <c r="H10" s="4">
        <v>53994</v>
      </c>
      <c r="I10" s="2" t="s">
        <v>19</v>
      </c>
      <c r="J10" s="2" t="s">
        <v>20</v>
      </c>
    </row>
    <row r="11" spans="1:21" x14ac:dyDescent="0.35">
      <c r="A11" s="2">
        <v>10010</v>
      </c>
      <c r="B11" s="3" t="str">
        <f t="shared" si="0"/>
        <v>Janeiro</v>
      </c>
      <c r="C11" s="3">
        <v>45301</v>
      </c>
      <c r="D11" s="2" t="s">
        <v>21</v>
      </c>
      <c r="E11" s="2" t="s">
        <v>30</v>
      </c>
      <c r="F11" s="2">
        <v>2</v>
      </c>
      <c r="G11" s="4">
        <v>2599</v>
      </c>
      <c r="H11" s="4">
        <v>5198</v>
      </c>
      <c r="I11" s="2" t="s">
        <v>11</v>
      </c>
      <c r="J11" s="2" t="s">
        <v>12</v>
      </c>
    </row>
    <row r="12" spans="1:21" x14ac:dyDescent="0.35">
      <c r="A12" s="2">
        <v>10011</v>
      </c>
      <c r="B12" s="3" t="str">
        <f t="shared" si="0"/>
        <v>Janeiro</v>
      </c>
      <c r="C12" s="3">
        <v>45302</v>
      </c>
      <c r="D12" s="2" t="s">
        <v>23</v>
      </c>
      <c r="E12" s="2" t="s">
        <v>31</v>
      </c>
      <c r="F12" s="2">
        <v>1</v>
      </c>
      <c r="G12" s="4">
        <v>12999</v>
      </c>
      <c r="H12" s="4">
        <v>12999</v>
      </c>
      <c r="I12" s="2" t="s">
        <v>15</v>
      </c>
      <c r="J12" s="2" t="s">
        <v>16</v>
      </c>
    </row>
    <row r="13" spans="1:21" x14ac:dyDescent="0.35">
      <c r="A13" s="2">
        <v>10012</v>
      </c>
      <c r="B13" s="3" t="str">
        <f t="shared" si="0"/>
        <v>Janeiro</v>
      </c>
      <c r="C13" s="3">
        <v>45303</v>
      </c>
      <c r="D13" s="2" t="s">
        <v>25</v>
      </c>
      <c r="E13" s="2" t="s">
        <v>32</v>
      </c>
      <c r="F13" s="2">
        <v>3</v>
      </c>
      <c r="G13" s="4">
        <v>19999</v>
      </c>
      <c r="H13" s="4">
        <v>59997</v>
      </c>
      <c r="I13" s="2" t="s">
        <v>19</v>
      </c>
      <c r="J13" s="2" t="s">
        <v>12</v>
      </c>
    </row>
    <row r="14" spans="1:21" x14ac:dyDescent="0.35">
      <c r="A14" s="2">
        <v>10013</v>
      </c>
      <c r="B14" s="3" t="str">
        <f t="shared" si="0"/>
        <v>Janeiro</v>
      </c>
      <c r="C14" s="3">
        <v>45304</v>
      </c>
      <c r="D14" s="2" t="s">
        <v>9</v>
      </c>
      <c r="E14" s="2" t="s">
        <v>33</v>
      </c>
      <c r="F14" s="2">
        <v>2</v>
      </c>
      <c r="G14" s="4">
        <v>74999</v>
      </c>
      <c r="H14" s="4">
        <v>149998</v>
      </c>
      <c r="I14" s="2" t="s">
        <v>11</v>
      </c>
      <c r="J14" s="2" t="s">
        <v>12</v>
      </c>
    </row>
    <row r="15" spans="1:21" x14ac:dyDescent="0.35">
      <c r="A15" s="2">
        <v>10014</v>
      </c>
      <c r="B15" s="3" t="str">
        <f t="shared" si="0"/>
        <v>Janeiro</v>
      </c>
      <c r="C15" s="3">
        <v>45305</v>
      </c>
      <c r="D15" s="2" t="s">
        <v>13</v>
      </c>
      <c r="E15" s="2" t="s">
        <v>34</v>
      </c>
      <c r="F15" s="2">
        <v>1</v>
      </c>
      <c r="G15" s="4">
        <v>18999</v>
      </c>
      <c r="H15" s="4">
        <v>18999</v>
      </c>
      <c r="I15" s="2" t="s">
        <v>15</v>
      </c>
      <c r="J15" s="2" t="s">
        <v>16</v>
      </c>
    </row>
    <row r="16" spans="1:21" x14ac:dyDescent="0.35">
      <c r="A16" s="2">
        <v>10015</v>
      </c>
      <c r="B16" s="3" t="str">
        <f t="shared" si="0"/>
        <v>Janeiro</v>
      </c>
      <c r="C16" s="3">
        <v>45306</v>
      </c>
      <c r="D16" s="2" t="s">
        <v>17</v>
      </c>
      <c r="E16" s="2" t="s">
        <v>35</v>
      </c>
      <c r="F16" s="2">
        <v>2</v>
      </c>
      <c r="G16" s="4">
        <v>24999</v>
      </c>
      <c r="H16" s="4">
        <v>49998</v>
      </c>
      <c r="I16" s="2" t="s">
        <v>19</v>
      </c>
      <c r="J16" s="2" t="s">
        <v>20</v>
      </c>
      <c r="U16" s="5"/>
    </row>
    <row r="17" spans="1:16" x14ac:dyDescent="0.35">
      <c r="A17" s="2">
        <v>10016</v>
      </c>
      <c r="B17" s="3" t="str">
        <f t="shared" si="0"/>
        <v>Janeiro</v>
      </c>
      <c r="C17" s="3">
        <v>45307</v>
      </c>
      <c r="D17" s="2" t="s">
        <v>21</v>
      </c>
      <c r="E17" s="2" t="s">
        <v>36</v>
      </c>
      <c r="F17" s="2">
        <v>3</v>
      </c>
      <c r="G17" s="4">
        <v>3599</v>
      </c>
      <c r="H17" s="4">
        <v>10797</v>
      </c>
      <c r="I17" s="2" t="s">
        <v>11</v>
      </c>
      <c r="J17" s="2" t="s">
        <v>12</v>
      </c>
    </row>
    <row r="18" spans="1:16" x14ac:dyDescent="0.35">
      <c r="A18" s="2">
        <v>10017</v>
      </c>
      <c r="B18" s="3" t="str">
        <f t="shared" si="0"/>
        <v>Janeiro</v>
      </c>
      <c r="C18" s="3">
        <v>45308</v>
      </c>
      <c r="D18" s="2" t="s">
        <v>23</v>
      </c>
      <c r="E18" s="2" t="s">
        <v>37</v>
      </c>
      <c r="F18" s="2">
        <v>1</v>
      </c>
      <c r="G18" s="4">
        <v>39999</v>
      </c>
      <c r="H18" s="4">
        <v>39999</v>
      </c>
      <c r="I18" s="2" t="s">
        <v>15</v>
      </c>
      <c r="J18" s="2" t="s">
        <v>16</v>
      </c>
    </row>
    <row r="19" spans="1:16" x14ac:dyDescent="0.35">
      <c r="A19" s="2">
        <v>10018</v>
      </c>
      <c r="B19" s="3" t="str">
        <f t="shared" si="0"/>
        <v>Janeiro</v>
      </c>
      <c r="C19" s="3">
        <v>45309</v>
      </c>
      <c r="D19" s="2" t="s">
        <v>25</v>
      </c>
      <c r="E19" s="2" t="s">
        <v>38</v>
      </c>
      <c r="F19" s="2">
        <v>4</v>
      </c>
      <c r="G19" s="4">
        <v>11999</v>
      </c>
      <c r="H19" s="4">
        <v>47996</v>
      </c>
      <c r="I19" s="2" t="s">
        <v>19</v>
      </c>
      <c r="J19" s="2" t="s">
        <v>12</v>
      </c>
    </row>
    <row r="20" spans="1:16" x14ac:dyDescent="0.35">
      <c r="A20" s="2">
        <v>10019</v>
      </c>
      <c r="B20" s="3" t="str">
        <f t="shared" si="0"/>
        <v>Janeiro</v>
      </c>
      <c r="C20" s="3">
        <v>45310</v>
      </c>
      <c r="D20" s="2" t="s">
        <v>9</v>
      </c>
      <c r="E20" s="2" t="s">
        <v>39</v>
      </c>
      <c r="F20" s="2">
        <v>2</v>
      </c>
      <c r="G20" s="4">
        <v>49999</v>
      </c>
      <c r="H20" s="4">
        <v>99998</v>
      </c>
      <c r="I20" s="2" t="s">
        <v>11</v>
      </c>
      <c r="J20" s="2" t="s">
        <v>12</v>
      </c>
    </row>
    <row r="21" spans="1:16" x14ac:dyDescent="0.35">
      <c r="A21" s="2">
        <v>10020</v>
      </c>
      <c r="B21" s="3" t="str">
        <f t="shared" si="0"/>
        <v>Janeiro</v>
      </c>
      <c r="C21" s="3">
        <v>45311</v>
      </c>
      <c r="D21" s="2" t="s">
        <v>13</v>
      </c>
      <c r="E21" s="2" t="s">
        <v>40</v>
      </c>
      <c r="F21" s="2">
        <v>1</v>
      </c>
      <c r="G21" s="4">
        <v>9999</v>
      </c>
      <c r="H21" s="4">
        <v>9999</v>
      </c>
      <c r="I21" s="2" t="s">
        <v>15</v>
      </c>
      <c r="J21" s="2" t="s">
        <v>16</v>
      </c>
    </row>
    <row r="22" spans="1:16" x14ac:dyDescent="0.35">
      <c r="A22" s="2">
        <v>10021</v>
      </c>
      <c r="B22" s="3" t="str">
        <f t="shared" si="0"/>
        <v>Janeiro</v>
      </c>
      <c r="C22" s="3">
        <v>45312</v>
      </c>
      <c r="D22" s="2" t="s">
        <v>17</v>
      </c>
      <c r="E22" s="2" t="s">
        <v>41</v>
      </c>
      <c r="F22" s="2">
        <v>3</v>
      </c>
      <c r="G22" s="4">
        <v>5999</v>
      </c>
      <c r="H22" s="4">
        <v>17997</v>
      </c>
      <c r="I22" s="2" t="s">
        <v>19</v>
      </c>
      <c r="J22" s="2" t="s">
        <v>20</v>
      </c>
    </row>
    <row r="23" spans="1:16" x14ac:dyDescent="0.35">
      <c r="A23" s="2">
        <v>10022</v>
      </c>
      <c r="B23" s="3" t="str">
        <f t="shared" si="0"/>
        <v>Janeiro</v>
      </c>
      <c r="C23" s="3">
        <v>45313</v>
      </c>
      <c r="D23" s="2" t="s">
        <v>21</v>
      </c>
      <c r="E23" s="2" t="s">
        <v>42</v>
      </c>
      <c r="F23" s="2">
        <v>2</v>
      </c>
      <c r="G23" s="4">
        <v>2299</v>
      </c>
      <c r="H23" s="4">
        <v>4598</v>
      </c>
      <c r="I23" s="2" t="s">
        <v>11</v>
      </c>
      <c r="J23" s="2" t="s">
        <v>12</v>
      </c>
    </row>
    <row r="24" spans="1:16" x14ac:dyDescent="0.35">
      <c r="A24" s="2">
        <v>10023</v>
      </c>
      <c r="B24" s="3" t="str">
        <f t="shared" si="0"/>
        <v>Janeiro</v>
      </c>
      <c r="C24" s="3">
        <v>45314</v>
      </c>
      <c r="D24" s="2" t="s">
        <v>23</v>
      </c>
      <c r="E24" s="2" t="s">
        <v>43</v>
      </c>
      <c r="F24" s="2">
        <v>1</v>
      </c>
      <c r="G24" s="4">
        <v>4999</v>
      </c>
      <c r="H24" s="4">
        <v>4999</v>
      </c>
      <c r="I24" s="2" t="s">
        <v>15</v>
      </c>
      <c r="J24" s="2" t="s">
        <v>16</v>
      </c>
    </row>
    <row r="25" spans="1:16" x14ac:dyDescent="0.35">
      <c r="A25" s="2">
        <v>10024</v>
      </c>
      <c r="B25" s="3" t="str">
        <f t="shared" si="0"/>
        <v>Janeiro</v>
      </c>
      <c r="C25" s="3">
        <v>45315</v>
      </c>
      <c r="D25" s="2" t="s">
        <v>25</v>
      </c>
      <c r="E25" s="2" t="s">
        <v>44</v>
      </c>
      <c r="F25" s="2">
        <v>3</v>
      </c>
      <c r="G25" s="4">
        <v>2999</v>
      </c>
      <c r="H25" s="4">
        <v>8997</v>
      </c>
      <c r="I25" s="2" t="s">
        <v>19</v>
      </c>
      <c r="J25" s="2" t="s">
        <v>12</v>
      </c>
    </row>
    <row r="26" spans="1:16" x14ac:dyDescent="0.35">
      <c r="A26" s="2">
        <v>10025</v>
      </c>
      <c r="B26" s="3" t="str">
        <f t="shared" si="0"/>
        <v>Janeiro</v>
      </c>
      <c r="C26" s="3">
        <v>45316</v>
      </c>
      <c r="D26" s="2" t="s">
        <v>9</v>
      </c>
      <c r="E26" s="2" t="s">
        <v>45</v>
      </c>
      <c r="F26" s="2">
        <v>1</v>
      </c>
      <c r="G26" s="4">
        <v>29999</v>
      </c>
      <c r="H26" s="4">
        <v>29999</v>
      </c>
      <c r="I26" s="2" t="s">
        <v>11</v>
      </c>
      <c r="J26" s="2" t="s">
        <v>12</v>
      </c>
    </row>
    <row r="27" spans="1:16" x14ac:dyDescent="0.35">
      <c r="A27" s="2">
        <v>10026</v>
      </c>
      <c r="B27" s="3" t="str">
        <f t="shared" si="0"/>
        <v>Janeiro</v>
      </c>
      <c r="C27" s="3">
        <v>45317</v>
      </c>
      <c r="D27" s="2" t="s">
        <v>13</v>
      </c>
      <c r="E27" s="2" t="s">
        <v>46</v>
      </c>
      <c r="F27" s="2">
        <v>1</v>
      </c>
      <c r="G27" s="4">
        <v>17999</v>
      </c>
      <c r="H27" s="4">
        <v>17999</v>
      </c>
      <c r="I27" s="2" t="s">
        <v>15</v>
      </c>
      <c r="J27" s="2" t="s">
        <v>16</v>
      </c>
      <c r="L27" s="8" t="s">
        <v>266</v>
      </c>
      <c r="M27" s="9" t="s">
        <v>267</v>
      </c>
      <c r="O27" s="8" t="s">
        <v>268</v>
      </c>
      <c r="P27" s="9" t="s">
        <v>267</v>
      </c>
    </row>
    <row r="28" spans="1:16" x14ac:dyDescent="0.35">
      <c r="A28" s="2">
        <v>10027</v>
      </c>
      <c r="B28" s="3" t="str">
        <f t="shared" si="0"/>
        <v>Janeiro</v>
      </c>
      <c r="C28" s="3">
        <v>45318</v>
      </c>
      <c r="D28" s="2" t="s">
        <v>17</v>
      </c>
      <c r="E28" s="2" t="s">
        <v>47</v>
      </c>
      <c r="F28" s="2">
        <v>2</v>
      </c>
      <c r="G28" s="4">
        <v>17999</v>
      </c>
      <c r="H28" s="4">
        <v>35998</v>
      </c>
      <c r="I28" s="2" t="s">
        <v>19</v>
      </c>
      <c r="J28" s="2" t="s">
        <v>20</v>
      </c>
      <c r="L28" s="6" t="s">
        <v>254</v>
      </c>
      <c r="M28" s="7">
        <f>SUMIF(B:B,L28,H:H)</f>
        <v>1454832</v>
      </c>
      <c r="O28" s="2" t="s">
        <v>9</v>
      </c>
      <c r="P28" s="7">
        <f>SUMIF(D:D,O28,H:H)</f>
        <v>3085114</v>
      </c>
    </row>
    <row r="29" spans="1:16" x14ac:dyDescent="0.35">
      <c r="A29" s="2">
        <v>10028</v>
      </c>
      <c r="B29" s="3" t="str">
        <f t="shared" si="0"/>
        <v>Janeiro</v>
      </c>
      <c r="C29" s="3">
        <v>45319</v>
      </c>
      <c r="D29" s="2" t="s">
        <v>21</v>
      </c>
      <c r="E29" s="2" t="s">
        <v>48</v>
      </c>
      <c r="F29" s="2">
        <v>3</v>
      </c>
      <c r="G29" s="4">
        <v>1299</v>
      </c>
      <c r="H29" s="4">
        <v>3897</v>
      </c>
      <c r="I29" s="2" t="s">
        <v>11</v>
      </c>
      <c r="J29" s="2" t="s">
        <v>12</v>
      </c>
      <c r="L29" s="6" t="s">
        <v>255</v>
      </c>
      <c r="M29" s="7">
        <f t="shared" ref="M29:M39" si="1">SUMIF(B:B, L29,H:H)</f>
        <v>812047</v>
      </c>
      <c r="O29" s="2" t="s">
        <v>13</v>
      </c>
      <c r="P29" s="7">
        <f t="shared" ref="P29:P31" si="2">SUMIF(D:D,O29,H:H)</f>
        <v>1675931</v>
      </c>
    </row>
    <row r="30" spans="1:16" x14ac:dyDescent="0.35">
      <c r="A30" s="2">
        <v>10029</v>
      </c>
      <c r="B30" s="3" t="str">
        <f t="shared" si="0"/>
        <v>Janeiro</v>
      </c>
      <c r="C30" s="3">
        <v>45320</v>
      </c>
      <c r="D30" s="2" t="s">
        <v>23</v>
      </c>
      <c r="E30" s="2" t="s">
        <v>49</v>
      </c>
      <c r="F30" s="2">
        <v>1</v>
      </c>
      <c r="G30" s="4">
        <v>2999</v>
      </c>
      <c r="H30" s="4">
        <v>2999</v>
      </c>
      <c r="I30" s="2" t="s">
        <v>15</v>
      </c>
      <c r="J30" s="2" t="s">
        <v>16</v>
      </c>
      <c r="L30" s="6" t="s">
        <v>256</v>
      </c>
      <c r="M30" s="7">
        <f t="shared" si="1"/>
        <v>1234650</v>
      </c>
      <c r="O30" s="2" t="s">
        <v>17</v>
      </c>
      <c r="P30" s="7">
        <f t="shared" si="2"/>
        <v>700330</v>
      </c>
    </row>
    <row r="31" spans="1:16" x14ac:dyDescent="0.35">
      <c r="A31" s="2">
        <v>10030</v>
      </c>
      <c r="B31" s="3" t="str">
        <f t="shared" si="0"/>
        <v>Janeiro</v>
      </c>
      <c r="C31" s="3">
        <v>45321</v>
      </c>
      <c r="D31" s="2" t="s">
        <v>25</v>
      </c>
      <c r="E31" s="2" t="s">
        <v>50</v>
      </c>
      <c r="F31" s="2">
        <v>2</v>
      </c>
      <c r="G31" s="4">
        <v>12999</v>
      </c>
      <c r="H31" s="4">
        <v>25998</v>
      </c>
      <c r="I31" s="2" t="s">
        <v>19</v>
      </c>
      <c r="J31" s="2" t="s">
        <v>12</v>
      </c>
      <c r="L31" s="6" t="s">
        <v>257</v>
      </c>
      <c r="M31" s="7">
        <f t="shared" si="1"/>
        <v>1174258</v>
      </c>
      <c r="O31" s="2" t="s">
        <v>21</v>
      </c>
      <c r="P31" s="7">
        <f t="shared" si="2"/>
        <v>165007</v>
      </c>
    </row>
    <row r="32" spans="1:16" x14ac:dyDescent="0.35">
      <c r="A32" s="2">
        <v>10031</v>
      </c>
      <c r="B32" s="3" t="str">
        <f t="shared" si="0"/>
        <v>Janeiro</v>
      </c>
      <c r="C32" s="3">
        <v>45322</v>
      </c>
      <c r="D32" s="2" t="s">
        <v>9</v>
      </c>
      <c r="E32" s="2" t="s">
        <v>51</v>
      </c>
      <c r="F32" s="2">
        <v>2</v>
      </c>
      <c r="G32" s="4">
        <v>34999</v>
      </c>
      <c r="H32" s="4">
        <v>69998</v>
      </c>
      <c r="I32" s="2" t="s">
        <v>11</v>
      </c>
      <c r="J32" s="2" t="s">
        <v>12</v>
      </c>
      <c r="L32" s="6" t="s">
        <v>258</v>
      </c>
      <c r="M32" s="7">
        <f t="shared" si="1"/>
        <v>662048</v>
      </c>
    </row>
    <row r="33" spans="1:16" x14ac:dyDescent="0.35">
      <c r="A33" s="2">
        <v>10032</v>
      </c>
      <c r="B33" s="3" t="str">
        <f t="shared" si="0"/>
        <v>Fevereiro</v>
      </c>
      <c r="C33" s="3">
        <v>45323</v>
      </c>
      <c r="D33" s="2" t="s">
        <v>13</v>
      </c>
      <c r="E33" s="2" t="s">
        <v>52</v>
      </c>
      <c r="F33" s="2">
        <v>3</v>
      </c>
      <c r="G33" s="4">
        <v>8999</v>
      </c>
      <c r="H33" s="4">
        <v>26997</v>
      </c>
      <c r="I33" s="2" t="s">
        <v>15</v>
      </c>
      <c r="J33" s="2" t="s">
        <v>16</v>
      </c>
      <c r="L33" s="6" t="s">
        <v>259</v>
      </c>
      <c r="M33" s="7">
        <f t="shared" si="1"/>
        <v>699845</v>
      </c>
    </row>
    <row r="34" spans="1:16" x14ac:dyDescent="0.35">
      <c r="A34" s="2">
        <v>10033</v>
      </c>
      <c r="B34" s="3" t="str">
        <f t="shared" si="0"/>
        <v>Fevereiro</v>
      </c>
      <c r="C34" s="3">
        <v>45324</v>
      </c>
      <c r="D34" s="2" t="s">
        <v>17</v>
      </c>
      <c r="E34" s="2" t="s">
        <v>53</v>
      </c>
      <c r="F34" s="2">
        <v>5</v>
      </c>
      <c r="G34" s="4">
        <v>2999</v>
      </c>
      <c r="H34" s="4">
        <v>14995</v>
      </c>
      <c r="I34" s="2" t="s">
        <v>19</v>
      </c>
      <c r="J34" s="2" t="s">
        <v>20</v>
      </c>
      <c r="L34" s="6" t="s">
        <v>260</v>
      </c>
      <c r="M34" s="7">
        <f t="shared" si="1"/>
        <v>483688</v>
      </c>
      <c r="O34" s="8" t="s">
        <v>268</v>
      </c>
      <c r="P34" s="9" t="s">
        <v>267</v>
      </c>
    </row>
    <row r="35" spans="1:16" x14ac:dyDescent="0.35">
      <c r="A35" s="2">
        <v>10034</v>
      </c>
      <c r="B35" s="3" t="str">
        <f t="shared" si="0"/>
        <v>Fevereiro</v>
      </c>
      <c r="C35" s="3">
        <v>45325</v>
      </c>
      <c r="D35" s="2" t="s">
        <v>21</v>
      </c>
      <c r="E35" s="2" t="s">
        <v>54</v>
      </c>
      <c r="F35" s="2">
        <v>4</v>
      </c>
      <c r="G35" s="4">
        <v>1999</v>
      </c>
      <c r="H35" s="4">
        <v>7996</v>
      </c>
      <c r="I35" s="2" t="s">
        <v>11</v>
      </c>
      <c r="J35" s="2" t="s">
        <v>12</v>
      </c>
      <c r="L35" s="6" t="s">
        <v>261</v>
      </c>
      <c r="M35" s="7">
        <f t="shared" si="1"/>
        <v>314117</v>
      </c>
      <c r="O35" s="2" t="s">
        <v>11</v>
      </c>
      <c r="P35" s="7">
        <f t="shared" ref="P35:P37" si="3">SUMIF(I:I,O35,H:H)</f>
        <v>3250121</v>
      </c>
    </row>
    <row r="36" spans="1:16" x14ac:dyDescent="0.35">
      <c r="A36" s="2">
        <v>10035</v>
      </c>
      <c r="B36" s="3" t="str">
        <f t="shared" si="0"/>
        <v>Fevereiro</v>
      </c>
      <c r="C36" s="3">
        <v>45326</v>
      </c>
      <c r="D36" s="2" t="s">
        <v>23</v>
      </c>
      <c r="E36" s="2" t="s">
        <v>55</v>
      </c>
      <c r="F36" s="2">
        <v>2</v>
      </c>
      <c r="G36" s="4">
        <v>3999</v>
      </c>
      <c r="H36" s="4">
        <v>7998</v>
      </c>
      <c r="I36" s="2" t="s">
        <v>15</v>
      </c>
      <c r="J36" s="2" t="s">
        <v>16</v>
      </c>
      <c r="L36" s="6" t="s">
        <v>262</v>
      </c>
      <c r="M36" s="7">
        <f t="shared" si="1"/>
        <v>0</v>
      </c>
      <c r="O36" s="2" t="s">
        <v>15</v>
      </c>
      <c r="P36" s="7">
        <f t="shared" si="3"/>
        <v>1761127</v>
      </c>
    </row>
    <row r="37" spans="1:16" x14ac:dyDescent="0.35">
      <c r="A37" s="2">
        <v>10036</v>
      </c>
      <c r="B37" s="3" t="str">
        <f t="shared" si="0"/>
        <v>Fevereiro</v>
      </c>
      <c r="C37" s="3">
        <v>45327</v>
      </c>
      <c r="D37" s="2" t="s">
        <v>25</v>
      </c>
      <c r="E37" s="2" t="s">
        <v>56</v>
      </c>
      <c r="F37" s="2">
        <v>1</v>
      </c>
      <c r="G37" s="4">
        <v>1895</v>
      </c>
      <c r="H37" s="4">
        <v>1895</v>
      </c>
      <c r="I37" s="2" t="s">
        <v>19</v>
      </c>
      <c r="J37" s="2" t="s">
        <v>12</v>
      </c>
      <c r="L37" s="6" t="s">
        <v>263</v>
      </c>
      <c r="M37" s="7">
        <f t="shared" si="1"/>
        <v>0</v>
      </c>
      <c r="O37" s="2" t="s">
        <v>19</v>
      </c>
      <c r="P37" s="7">
        <f t="shared" si="3"/>
        <v>1824237</v>
      </c>
    </row>
    <row r="38" spans="1:16" x14ac:dyDescent="0.35">
      <c r="A38" s="2">
        <v>10037</v>
      </c>
      <c r="B38" s="3" t="str">
        <f t="shared" si="0"/>
        <v>Fevereiro</v>
      </c>
      <c r="C38" s="3">
        <v>45328</v>
      </c>
      <c r="D38" s="2" t="s">
        <v>9</v>
      </c>
      <c r="E38" s="2" t="s">
        <v>57</v>
      </c>
      <c r="F38" s="2">
        <v>3</v>
      </c>
      <c r="G38" s="4">
        <v>39999</v>
      </c>
      <c r="H38" s="4">
        <v>119997</v>
      </c>
      <c r="I38" s="2" t="s">
        <v>11</v>
      </c>
      <c r="J38" s="2" t="s">
        <v>12</v>
      </c>
      <c r="L38" s="6" t="s">
        <v>264</v>
      </c>
      <c r="M38" s="7">
        <f t="shared" si="1"/>
        <v>0</v>
      </c>
    </row>
    <row r="39" spans="1:16" x14ac:dyDescent="0.35">
      <c r="A39" s="2">
        <v>10038</v>
      </c>
      <c r="B39" s="3" t="str">
        <f t="shared" si="0"/>
        <v>Fevereiro</v>
      </c>
      <c r="C39" s="3">
        <v>45329</v>
      </c>
      <c r="D39" s="2" t="s">
        <v>13</v>
      </c>
      <c r="E39" s="2" t="s">
        <v>58</v>
      </c>
      <c r="F39" s="2">
        <v>2</v>
      </c>
      <c r="G39" s="4">
        <v>79999</v>
      </c>
      <c r="H39" s="4">
        <v>159998</v>
      </c>
      <c r="I39" s="2" t="s">
        <v>15</v>
      </c>
      <c r="J39" s="2" t="s">
        <v>16</v>
      </c>
      <c r="L39" s="10" t="s">
        <v>265</v>
      </c>
      <c r="M39" s="11">
        <f t="shared" si="1"/>
        <v>0</v>
      </c>
    </row>
    <row r="40" spans="1:16" x14ac:dyDescent="0.35">
      <c r="A40" s="2">
        <v>10039</v>
      </c>
      <c r="B40" s="3" t="str">
        <f t="shared" si="0"/>
        <v>Fevereiro</v>
      </c>
      <c r="C40" s="3">
        <v>45330</v>
      </c>
      <c r="D40" s="2" t="s">
        <v>17</v>
      </c>
      <c r="E40" s="2" t="s">
        <v>59</v>
      </c>
      <c r="F40" s="2">
        <v>4</v>
      </c>
      <c r="G40" s="4">
        <v>5999</v>
      </c>
      <c r="H40" s="4">
        <v>23996</v>
      </c>
      <c r="I40" s="2" t="s">
        <v>19</v>
      </c>
      <c r="J40" s="2" t="s">
        <v>20</v>
      </c>
    </row>
    <row r="41" spans="1:16" x14ac:dyDescent="0.35">
      <c r="A41" s="2">
        <v>10040</v>
      </c>
      <c r="B41" s="3" t="str">
        <f t="shared" si="0"/>
        <v>Fevereiro</v>
      </c>
      <c r="C41" s="3">
        <v>45331</v>
      </c>
      <c r="D41" s="2" t="s">
        <v>21</v>
      </c>
      <c r="E41" s="2" t="s">
        <v>60</v>
      </c>
      <c r="F41" s="2">
        <v>3</v>
      </c>
      <c r="G41" s="4">
        <v>2499</v>
      </c>
      <c r="H41" s="4">
        <v>7497</v>
      </c>
      <c r="I41" s="2" t="s">
        <v>11</v>
      </c>
      <c r="J41" s="2" t="s">
        <v>12</v>
      </c>
    </row>
    <row r="42" spans="1:16" x14ac:dyDescent="0.35">
      <c r="A42" s="2">
        <v>10041</v>
      </c>
      <c r="B42" s="3" t="str">
        <f t="shared" si="0"/>
        <v>Fevereiro</v>
      </c>
      <c r="C42" s="3">
        <v>45332</v>
      </c>
      <c r="D42" s="2" t="s">
        <v>23</v>
      </c>
      <c r="E42" s="2" t="s">
        <v>61</v>
      </c>
      <c r="F42" s="2">
        <v>1</v>
      </c>
      <c r="G42" s="4">
        <v>105</v>
      </c>
      <c r="H42" s="4">
        <v>105</v>
      </c>
      <c r="I42" s="2" t="s">
        <v>15</v>
      </c>
      <c r="J42" s="2" t="s">
        <v>16</v>
      </c>
      <c r="L42" s="14" t="s">
        <v>19</v>
      </c>
    </row>
    <row r="43" spans="1:16" x14ac:dyDescent="0.35">
      <c r="A43" s="2">
        <v>10042</v>
      </c>
      <c r="B43" s="3" t="str">
        <f t="shared" si="0"/>
        <v>Fevereiro</v>
      </c>
      <c r="C43" s="3">
        <v>45333</v>
      </c>
      <c r="D43" s="2" t="s">
        <v>25</v>
      </c>
      <c r="E43" s="2" t="s">
        <v>62</v>
      </c>
      <c r="F43" s="2">
        <v>2</v>
      </c>
      <c r="G43" s="4">
        <v>12999</v>
      </c>
      <c r="H43" s="4">
        <v>25998</v>
      </c>
      <c r="I43" s="2" t="s">
        <v>19</v>
      </c>
      <c r="J43" s="2" t="s">
        <v>12</v>
      </c>
      <c r="L43" s="13" t="s">
        <v>269</v>
      </c>
      <c r="M43" s="12" t="s">
        <v>270</v>
      </c>
    </row>
    <row r="44" spans="1:16" x14ac:dyDescent="0.35">
      <c r="A44" s="2">
        <v>10043</v>
      </c>
      <c r="B44" s="3" t="str">
        <f t="shared" si="0"/>
        <v>Fevereiro</v>
      </c>
      <c r="C44" s="3">
        <v>45334</v>
      </c>
      <c r="D44" s="2" t="s">
        <v>9</v>
      </c>
      <c r="E44" s="2" t="s">
        <v>63</v>
      </c>
      <c r="F44" s="2">
        <v>3</v>
      </c>
      <c r="G44" s="4">
        <v>39999</v>
      </c>
      <c r="H44" s="4">
        <v>119997</v>
      </c>
      <c r="I44" s="2" t="s">
        <v>11</v>
      </c>
      <c r="J44" s="2" t="s">
        <v>12</v>
      </c>
      <c r="L44" s="13" t="s">
        <v>271</v>
      </c>
      <c r="M44" s="12" t="s">
        <v>272</v>
      </c>
    </row>
    <row r="45" spans="1:16" x14ac:dyDescent="0.35">
      <c r="A45" s="2">
        <v>10044</v>
      </c>
      <c r="B45" s="3" t="str">
        <f t="shared" si="0"/>
        <v>Fevereiro</v>
      </c>
      <c r="C45" s="3">
        <v>45335</v>
      </c>
      <c r="D45" s="2" t="s">
        <v>13</v>
      </c>
      <c r="E45" s="2" t="s">
        <v>64</v>
      </c>
      <c r="F45" s="2">
        <v>1</v>
      </c>
      <c r="G45" s="4">
        <v>19999</v>
      </c>
      <c r="H45" s="4">
        <v>19999</v>
      </c>
      <c r="I45" s="2" t="s">
        <v>15</v>
      </c>
      <c r="J45" s="2" t="s">
        <v>16</v>
      </c>
      <c r="L45" s="13" t="s">
        <v>273</v>
      </c>
      <c r="M45" s="12" t="s">
        <v>272</v>
      </c>
    </row>
    <row r="46" spans="1:16" x14ac:dyDescent="0.35">
      <c r="A46" s="2">
        <v>10045</v>
      </c>
      <c r="B46" s="3" t="str">
        <f t="shared" si="0"/>
        <v>Fevereiro</v>
      </c>
      <c r="C46" s="3">
        <v>45336</v>
      </c>
      <c r="D46" s="2" t="s">
        <v>17</v>
      </c>
      <c r="E46" s="2" t="s">
        <v>65</v>
      </c>
      <c r="F46" s="2">
        <v>2</v>
      </c>
      <c r="G46" s="4">
        <v>13999</v>
      </c>
      <c r="H46" s="4">
        <v>27998</v>
      </c>
      <c r="I46" s="2" t="s">
        <v>19</v>
      </c>
      <c r="J46" s="2" t="s">
        <v>20</v>
      </c>
      <c r="L46" s="13" t="s">
        <v>274</v>
      </c>
      <c r="M46" s="12" t="s">
        <v>270</v>
      </c>
    </row>
    <row r="47" spans="1:16" x14ac:dyDescent="0.35">
      <c r="A47" s="2">
        <v>10046</v>
      </c>
      <c r="B47" s="3" t="str">
        <f t="shared" si="0"/>
        <v>Fevereiro</v>
      </c>
      <c r="C47" s="3">
        <v>45337</v>
      </c>
      <c r="D47" s="2" t="s">
        <v>21</v>
      </c>
      <c r="E47" s="2" t="s">
        <v>66</v>
      </c>
      <c r="F47" s="2">
        <v>4</v>
      </c>
      <c r="G47" s="4">
        <v>325</v>
      </c>
      <c r="H47" s="4">
        <v>130</v>
      </c>
      <c r="I47" s="2" t="s">
        <v>11</v>
      </c>
      <c r="J47" s="2" t="s">
        <v>12</v>
      </c>
    </row>
    <row r="48" spans="1:16" x14ac:dyDescent="0.35">
      <c r="A48" s="2">
        <v>10047</v>
      </c>
      <c r="B48" s="3" t="str">
        <f t="shared" si="0"/>
        <v>Fevereiro</v>
      </c>
      <c r="C48" s="3">
        <v>45338</v>
      </c>
      <c r="D48" s="2" t="s">
        <v>23</v>
      </c>
      <c r="E48" s="2" t="s">
        <v>67</v>
      </c>
      <c r="F48" s="2">
        <v>1</v>
      </c>
      <c r="G48" s="4">
        <v>52</v>
      </c>
      <c r="H48" s="4">
        <v>52</v>
      </c>
      <c r="I48" s="2" t="s">
        <v>15</v>
      </c>
      <c r="J48" s="2" t="s">
        <v>16</v>
      </c>
    </row>
    <row r="49" spans="1:13" x14ac:dyDescent="0.35">
      <c r="A49" s="2">
        <v>10048</v>
      </c>
      <c r="B49" s="3" t="str">
        <f t="shared" si="0"/>
        <v>Fevereiro</v>
      </c>
      <c r="C49" s="3">
        <v>45339</v>
      </c>
      <c r="D49" s="2" t="s">
        <v>25</v>
      </c>
      <c r="E49" s="2" t="s">
        <v>68</v>
      </c>
      <c r="F49" s="2">
        <v>6</v>
      </c>
      <c r="G49" s="4">
        <v>3999</v>
      </c>
      <c r="H49" s="4">
        <v>23994</v>
      </c>
      <c r="I49" s="2" t="s">
        <v>19</v>
      </c>
      <c r="J49" s="2" t="s">
        <v>12</v>
      </c>
    </row>
    <row r="50" spans="1:13" x14ac:dyDescent="0.35">
      <c r="A50" s="2">
        <v>10049</v>
      </c>
      <c r="B50" s="3" t="str">
        <f t="shared" si="0"/>
        <v>Fevereiro</v>
      </c>
      <c r="C50" s="3">
        <v>45340</v>
      </c>
      <c r="D50" s="2" t="s">
        <v>9</v>
      </c>
      <c r="E50" s="2" t="s">
        <v>69</v>
      </c>
      <c r="F50" s="2">
        <v>2</v>
      </c>
      <c r="G50" s="4">
        <v>12999</v>
      </c>
      <c r="H50" s="4">
        <v>25998</v>
      </c>
      <c r="I50" s="2" t="s">
        <v>11</v>
      </c>
      <c r="J50" s="2" t="s">
        <v>12</v>
      </c>
    </row>
    <row r="51" spans="1:13" x14ac:dyDescent="0.35">
      <c r="A51" s="2">
        <v>10050</v>
      </c>
      <c r="B51" s="3" t="str">
        <f t="shared" si="0"/>
        <v>Fevereiro</v>
      </c>
      <c r="C51" s="3">
        <v>45341</v>
      </c>
      <c r="D51" s="2" t="s">
        <v>13</v>
      </c>
      <c r="E51" s="2" t="s">
        <v>70</v>
      </c>
      <c r="F51" s="2">
        <v>1</v>
      </c>
      <c r="G51" s="4">
        <v>29999</v>
      </c>
      <c r="H51" s="4">
        <v>29999</v>
      </c>
      <c r="I51" s="2" t="s">
        <v>15</v>
      </c>
      <c r="J51" s="2" t="s">
        <v>16</v>
      </c>
    </row>
    <row r="52" spans="1:13" x14ac:dyDescent="0.35">
      <c r="A52" s="2">
        <v>10051</v>
      </c>
      <c r="B52" s="3" t="str">
        <f t="shared" si="0"/>
        <v>Fevereiro</v>
      </c>
      <c r="C52" s="3">
        <v>45342</v>
      </c>
      <c r="D52" s="2" t="s">
        <v>17</v>
      </c>
      <c r="E52" s="2" t="s">
        <v>71</v>
      </c>
      <c r="F52" s="2">
        <v>3</v>
      </c>
      <c r="G52" s="4">
        <v>15499</v>
      </c>
      <c r="H52" s="4">
        <v>46497</v>
      </c>
      <c r="I52" s="2" t="s">
        <v>19</v>
      </c>
      <c r="J52" s="2" t="s">
        <v>20</v>
      </c>
      <c r="L52" s="14" t="s">
        <v>11</v>
      </c>
    </row>
    <row r="53" spans="1:13" x14ac:dyDescent="0.35">
      <c r="A53" s="2">
        <v>10052</v>
      </c>
      <c r="B53" s="3" t="str">
        <f t="shared" si="0"/>
        <v>Fevereiro</v>
      </c>
      <c r="C53" s="3">
        <v>45343</v>
      </c>
      <c r="D53" s="2" t="s">
        <v>21</v>
      </c>
      <c r="E53" s="2" t="s">
        <v>72</v>
      </c>
      <c r="F53" s="2">
        <v>2</v>
      </c>
      <c r="G53" s="4">
        <v>2699</v>
      </c>
      <c r="H53" s="4">
        <v>5398</v>
      </c>
      <c r="I53" s="2" t="s">
        <v>11</v>
      </c>
      <c r="J53" s="2" t="s">
        <v>12</v>
      </c>
      <c r="L53" s="13" t="s">
        <v>275</v>
      </c>
      <c r="M53" s="12" t="s">
        <v>276</v>
      </c>
    </row>
    <row r="54" spans="1:13" x14ac:dyDescent="0.35">
      <c r="A54" s="2">
        <v>10053</v>
      </c>
      <c r="B54" s="3" t="str">
        <f t="shared" si="0"/>
        <v>Fevereiro</v>
      </c>
      <c r="C54" s="3">
        <v>45344</v>
      </c>
      <c r="D54" s="2" t="s">
        <v>23</v>
      </c>
      <c r="E54" s="2" t="s">
        <v>73</v>
      </c>
      <c r="F54" s="2">
        <v>1</v>
      </c>
      <c r="G54" s="4">
        <v>49</v>
      </c>
      <c r="H54" s="4">
        <v>49</v>
      </c>
      <c r="I54" s="2" t="s">
        <v>15</v>
      </c>
      <c r="J54" s="2" t="s">
        <v>16</v>
      </c>
      <c r="L54" s="13" t="s">
        <v>21</v>
      </c>
      <c r="M54" s="12" t="s">
        <v>277</v>
      </c>
    </row>
    <row r="55" spans="1:13" x14ac:dyDescent="0.35">
      <c r="A55" s="2">
        <v>10054</v>
      </c>
      <c r="B55" s="3" t="str">
        <f t="shared" si="0"/>
        <v>Fevereiro</v>
      </c>
      <c r="C55" s="3">
        <v>45345</v>
      </c>
      <c r="D55" s="2" t="s">
        <v>25</v>
      </c>
      <c r="E55" s="2" t="s">
        <v>74</v>
      </c>
      <c r="F55" s="2">
        <v>5</v>
      </c>
      <c r="G55" s="4">
        <v>4999</v>
      </c>
      <c r="H55" s="4">
        <v>24995</v>
      </c>
      <c r="I55" s="2" t="s">
        <v>19</v>
      </c>
      <c r="J55" s="2" t="s">
        <v>12</v>
      </c>
      <c r="L55" s="13" t="s">
        <v>278</v>
      </c>
      <c r="M55" s="12" t="s">
        <v>279</v>
      </c>
    </row>
    <row r="56" spans="1:13" x14ac:dyDescent="0.35">
      <c r="A56" s="2">
        <v>10055</v>
      </c>
      <c r="B56" s="3" t="str">
        <f t="shared" si="0"/>
        <v>Fevereiro</v>
      </c>
      <c r="C56" s="3">
        <v>45346</v>
      </c>
      <c r="D56" s="2" t="s">
        <v>9</v>
      </c>
      <c r="E56" s="2" t="s">
        <v>75</v>
      </c>
      <c r="F56" s="2">
        <v>4</v>
      </c>
      <c r="G56" s="4">
        <v>5999</v>
      </c>
      <c r="H56" s="4">
        <v>23996</v>
      </c>
      <c r="I56" s="2" t="s">
        <v>11</v>
      </c>
      <c r="J56" s="2" t="s">
        <v>12</v>
      </c>
    </row>
    <row r="57" spans="1:13" x14ac:dyDescent="0.35">
      <c r="A57" s="2">
        <v>10056</v>
      </c>
      <c r="B57" s="3" t="str">
        <f t="shared" si="0"/>
        <v>Fevereiro</v>
      </c>
      <c r="C57" s="3">
        <v>45347</v>
      </c>
      <c r="D57" s="2" t="s">
        <v>13</v>
      </c>
      <c r="E57" s="2" t="s">
        <v>76</v>
      </c>
      <c r="F57" s="2">
        <v>1</v>
      </c>
      <c r="G57" s="4">
        <v>49999</v>
      </c>
      <c r="H57" s="4">
        <v>49999</v>
      </c>
      <c r="I57" s="2" t="s">
        <v>15</v>
      </c>
      <c r="J57" s="2" t="s">
        <v>16</v>
      </c>
    </row>
    <row r="58" spans="1:13" x14ac:dyDescent="0.35">
      <c r="A58" s="2">
        <v>10057</v>
      </c>
      <c r="B58" s="3" t="str">
        <f t="shared" si="0"/>
        <v>Fevereiro</v>
      </c>
      <c r="C58" s="3">
        <v>45348</v>
      </c>
      <c r="D58" s="2" t="s">
        <v>17</v>
      </c>
      <c r="E58" s="2" t="s">
        <v>77</v>
      </c>
      <c r="F58" s="2">
        <v>5</v>
      </c>
      <c r="G58" s="4">
        <v>2999</v>
      </c>
      <c r="H58" s="4">
        <v>14995</v>
      </c>
      <c r="I58" s="2" t="s">
        <v>19</v>
      </c>
      <c r="J58" s="2" t="s">
        <v>20</v>
      </c>
    </row>
    <row r="59" spans="1:13" x14ac:dyDescent="0.35">
      <c r="A59" s="2">
        <v>10058</v>
      </c>
      <c r="B59" s="3" t="str">
        <f t="shared" si="0"/>
        <v>Fevereiro</v>
      </c>
      <c r="C59" s="3">
        <v>45349</v>
      </c>
      <c r="D59" s="2" t="s">
        <v>21</v>
      </c>
      <c r="E59" s="2" t="s">
        <v>78</v>
      </c>
      <c r="F59" s="2">
        <v>3</v>
      </c>
      <c r="G59" s="4">
        <v>28</v>
      </c>
      <c r="H59" s="4">
        <v>84</v>
      </c>
      <c r="I59" s="2" t="s">
        <v>11</v>
      </c>
      <c r="J59" s="2" t="s">
        <v>12</v>
      </c>
    </row>
    <row r="60" spans="1:13" x14ac:dyDescent="0.35">
      <c r="A60" s="2">
        <v>10059</v>
      </c>
      <c r="B60" s="3" t="str">
        <f t="shared" si="0"/>
        <v>Fevereiro</v>
      </c>
      <c r="C60" s="3">
        <v>45350</v>
      </c>
      <c r="D60" s="2" t="s">
        <v>23</v>
      </c>
      <c r="E60" s="2" t="s">
        <v>79</v>
      </c>
      <c r="F60" s="2">
        <v>2</v>
      </c>
      <c r="G60" s="4">
        <v>23</v>
      </c>
      <c r="H60" s="4">
        <v>46</v>
      </c>
      <c r="I60" s="2" t="s">
        <v>15</v>
      </c>
      <c r="J60" s="2" t="s">
        <v>16</v>
      </c>
      <c r="L60" s="14" t="s">
        <v>15</v>
      </c>
    </row>
    <row r="61" spans="1:13" x14ac:dyDescent="0.35">
      <c r="A61" s="2">
        <v>10060</v>
      </c>
      <c r="B61" s="3" t="str">
        <f t="shared" si="0"/>
        <v>Fevereiro</v>
      </c>
      <c r="C61" s="3">
        <v>45351</v>
      </c>
      <c r="D61" s="2" t="s">
        <v>25</v>
      </c>
      <c r="E61" s="2" t="s">
        <v>80</v>
      </c>
      <c r="F61" s="2">
        <v>1</v>
      </c>
      <c r="G61" s="4">
        <v>349</v>
      </c>
      <c r="H61" s="4">
        <v>349</v>
      </c>
      <c r="I61" s="2" t="s">
        <v>19</v>
      </c>
      <c r="J61" s="2" t="s">
        <v>12</v>
      </c>
      <c r="L61" s="13" t="s">
        <v>280</v>
      </c>
      <c r="M61" s="12" t="s">
        <v>281</v>
      </c>
    </row>
    <row r="62" spans="1:13" x14ac:dyDescent="0.35">
      <c r="A62" s="2">
        <v>10061</v>
      </c>
      <c r="B62" s="3" t="str">
        <f t="shared" si="0"/>
        <v>Março</v>
      </c>
      <c r="C62" s="3">
        <v>45352</v>
      </c>
      <c r="D62" s="2" t="s">
        <v>9</v>
      </c>
      <c r="E62" s="2" t="s">
        <v>81</v>
      </c>
      <c r="F62" s="2">
        <v>3</v>
      </c>
      <c r="G62" s="4">
        <v>29999</v>
      </c>
      <c r="H62" s="4">
        <v>89997</v>
      </c>
      <c r="I62" s="2" t="s">
        <v>11</v>
      </c>
      <c r="J62" s="2" t="s">
        <v>12</v>
      </c>
      <c r="L62" s="13" t="s">
        <v>282</v>
      </c>
      <c r="M62" s="12" t="s">
        <v>283</v>
      </c>
    </row>
    <row r="63" spans="1:13" x14ac:dyDescent="0.35">
      <c r="A63" s="2">
        <v>10062</v>
      </c>
      <c r="B63" s="3" t="str">
        <f t="shared" si="0"/>
        <v>Março</v>
      </c>
      <c r="C63" s="3">
        <v>45353</v>
      </c>
      <c r="D63" s="2" t="s">
        <v>13</v>
      </c>
      <c r="E63" s="2" t="s">
        <v>82</v>
      </c>
      <c r="F63" s="2">
        <v>2</v>
      </c>
      <c r="G63" s="4">
        <v>19999</v>
      </c>
      <c r="H63" s="4">
        <v>39998</v>
      </c>
      <c r="I63" s="2" t="s">
        <v>15</v>
      </c>
      <c r="J63" s="2" t="s">
        <v>16</v>
      </c>
      <c r="L63" s="13" t="s">
        <v>13</v>
      </c>
      <c r="M63" s="12" t="s">
        <v>284</v>
      </c>
    </row>
    <row r="64" spans="1:13" x14ac:dyDescent="0.35">
      <c r="A64" s="2">
        <v>10063</v>
      </c>
      <c r="B64" s="3" t="str">
        <f t="shared" si="0"/>
        <v>Março</v>
      </c>
      <c r="C64" s="3">
        <v>45354</v>
      </c>
      <c r="D64" s="2" t="s">
        <v>17</v>
      </c>
      <c r="E64" s="2" t="s">
        <v>83</v>
      </c>
      <c r="F64" s="2">
        <v>10</v>
      </c>
      <c r="G64" s="4">
        <v>999</v>
      </c>
      <c r="H64" s="4">
        <v>999</v>
      </c>
      <c r="I64" s="2" t="s">
        <v>19</v>
      </c>
      <c r="J64" s="2" t="s">
        <v>20</v>
      </c>
    </row>
    <row r="65" spans="1:10" x14ac:dyDescent="0.35">
      <c r="A65" s="2">
        <v>10064</v>
      </c>
      <c r="B65" s="3" t="str">
        <f t="shared" si="0"/>
        <v>Março</v>
      </c>
      <c r="C65" s="3">
        <v>45355</v>
      </c>
      <c r="D65" s="2" t="s">
        <v>21</v>
      </c>
      <c r="E65" s="2" t="s">
        <v>84</v>
      </c>
      <c r="F65" s="2">
        <v>4</v>
      </c>
      <c r="G65" s="4">
        <v>1899</v>
      </c>
      <c r="H65" s="4">
        <v>7596</v>
      </c>
      <c r="I65" s="2" t="s">
        <v>11</v>
      </c>
      <c r="J65" s="2" t="s">
        <v>12</v>
      </c>
    </row>
    <row r="66" spans="1:10" x14ac:dyDescent="0.35">
      <c r="A66" s="2">
        <v>10065</v>
      </c>
      <c r="B66" s="3" t="str">
        <f t="shared" ref="B66:B129" si="4">PROPER(TEXT(C66,"MMMM"))</f>
        <v>Março</v>
      </c>
      <c r="C66" s="3">
        <v>45356</v>
      </c>
      <c r="D66" s="2" t="s">
        <v>23</v>
      </c>
      <c r="E66" s="2" t="s">
        <v>85</v>
      </c>
      <c r="F66" s="2">
        <v>1</v>
      </c>
      <c r="G66" s="4">
        <v>102</v>
      </c>
      <c r="H66" s="4">
        <v>102</v>
      </c>
      <c r="I66" s="2" t="s">
        <v>15</v>
      </c>
      <c r="J66" s="2" t="s">
        <v>16</v>
      </c>
    </row>
    <row r="67" spans="1:10" x14ac:dyDescent="0.35">
      <c r="A67" s="2">
        <v>10066</v>
      </c>
      <c r="B67" s="3" t="str">
        <f t="shared" si="4"/>
        <v>Março</v>
      </c>
      <c r="C67" s="3">
        <v>45357</v>
      </c>
      <c r="D67" s="2" t="s">
        <v>25</v>
      </c>
      <c r="E67" s="2" t="s">
        <v>86</v>
      </c>
      <c r="F67" s="2">
        <v>2</v>
      </c>
      <c r="G67" s="4">
        <v>29999</v>
      </c>
      <c r="H67" s="4">
        <v>59998</v>
      </c>
      <c r="I67" s="2" t="s">
        <v>19</v>
      </c>
      <c r="J67" s="2" t="s">
        <v>12</v>
      </c>
    </row>
    <row r="68" spans="1:10" x14ac:dyDescent="0.35">
      <c r="A68" s="2">
        <v>10067</v>
      </c>
      <c r="B68" s="3" t="str">
        <f t="shared" si="4"/>
        <v>Março</v>
      </c>
      <c r="C68" s="3">
        <v>45358</v>
      </c>
      <c r="D68" s="2" t="s">
        <v>9</v>
      </c>
      <c r="E68" s="2" t="s">
        <v>87</v>
      </c>
      <c r="F68" s="2">
        <v>1</v>
      </c>
      <c r="G68" s="4">
        <v>119999</v>
      </c>
      <c r="H68" s="4">
        <v>119999</v>
      </c>
      <c r="I68" s="2" t="s">
        <v>11</v>
      </c>
      <c r="J68" s="2" t="s">
        <v>12</v>
      </c>
    </row>
    <row r="69" spans="1:10" x14ac:dyDescent="0.35">
      <c r="A69" s="2">
        <v>10068</v>
      </c>
      <c r="B69" s="3" t="str">
        <f t="shared" si="4"/>
        <v>Março</v>
      </c>
      <c r="C69" s="3">
        <v>45359</v>
      </c>
      <c r="D69" s="2" t="s">
        <v>13</v>
      </c>
      <c r="E69" s="2" t="s">
        <v>88</v>
      </c>
      <c r="F69" s="2">
        <v>3</v>
      </c>
      <c r="G69" s="4">
        <v>21999</v>
      </c>
      <c r="H69" s="4">
        <v>65997</v>
      </c>
      <c r="I69" s="2" t="s">
        <v>15</v>
      </c>
      <c r="J69" s="2" t="s">
        <v>16</v>
      </c>
    </row>
    <row r="70" spans="1:10" x14ac:dyDescent="0.35">
      <c r="A70" s="2">
        <v>10069</v>
      </c>
      <c r="B70" s="3" t="str">
        <f t="shared" si="4"/>
        <v>Março</v>
      </c>
      <c r="C70" s="3">
        <v>45360</v>
      </c>
      <c r="D70" s="2" t="s">
        <v>17</v>
      </c>
      <c r="E70" s="2" t="s">
        <v>89</v>
      </c>
      <c r="F70" s="2">
        <v>4</v>
      </c>
      <c r="G70" s="4">
        <v>5999</v>
      </c>
      <c r="H70" s="4">
        <v>23996</v>
      </c>
      <c r="I70" s="2" t="s">
        <v>19</v>
      </c>
      <c r="J70" s="2" t="s">
        <v>20</v>
      </c>
    </row>
    <row r="71" spans="1:10" x14ac:dyDescent="0.35">
      <c r="A71" s="2">
        <v>10070</v>
      </c>
      <c r="B71" s="3" t="str">
        <f t="shared" si="4"/>
        <v>Março</v>
      </c>
      <c r="C71" s="3">
        <v>45361</v>
      </c>
      <c r="D71" s="2" t="s">
        <v>21</v>
      </c>
      <c r="E71" s="2" t="s">
        <v>90</v>
      </c>
      <c r="F71" s="2">
        <v>2</v>
      </c>
      <c r="G71" s="4">
        <v>1099</v>
      </c>
      <c r="H71" s="4">
        <v>2198</v>
      </c>
      <c r="I71" s="2" t="s">
        <v>11</v>
      </c>
      <c r="J71" s="2" t="s">
        <v>12</v>
      </c>
    </row>
    <row r="72" spans="1:10" x14ac:dyDescent="0.35">
      <c r="A72" s="2">
        <v>10071</v>
      </c>
      <c r="B72" s="3" t="str">
        <f t="shared" si="4"/>
        <v>Março</v>
      </c>
      <c r="C72" s="3">
        <v>45362</v>
      </c>
      <c r="D72" s="2" t="s">
        <v>23</v>
      </c>
      <c r="E72" s="2" t="s">
        <v>91</v>
      </c>
      <c r="F72" s="2">
        <v>1</v>
      </c>
      <c r="G72" s="4">
        <v>78</v>
      </c>
      <c r="H72" s="4">
        <v>78</v>
      </c>
      <c r="I72" s="2" t="s">
        <v>15</v>
      </c>
      <c r="J72" s="2" t="s">
        <v>16</v>
      </c>
    </row>
    <row r="73" spans="1:10" x14ac:dyDescent="0.35">
      <c r="A73" s="2">
        <v>10072</v>
      </c>
      <c r="B73" s="3" t="str">
        <f t="shared" si="4"/>
        <v>Março</v>
      </c>
      <c r="C73" s="3">
        <v>45363</v>
      </c>
      <c r="D73" s="2" t="s">
        <v>25</v>
      </c>
      <c r="E73" s="2" t="s">
        <v>92</v>
      </c>
      <c r="F73" s="2">
        <v>3</v>
      </c>
      <c r="G73" s="4">
        <v>12999</v>
      </c>
      <c r="H73" s="4">
        <v>38997</v>
      </c>
      <c r="I73" s="2" t="s">
        <v>19</v>
      </c>
      <c r="J73" s="2" t="s">
        <v>12</v>
      </c>
    </row>
    <row r="74" spans="1:10" x14ac:dyDescent="0.35">
      <c r="A74" s="2">
        <v>10073</v>
      </c>
      <c r="B74" s="3" t="str">
        <f t="shared" si="4"/>
        <v>Março</v>
      </c>
      <c r="C74" s="3">
        <v>45364</v>
      </c>
      <c r="D74" s="2" t="s">
        <v>9</v>
      </c>
      <c r="E74" s="2" t="s">
        <v>93</v>
      </c>
      <c r="F74" s="2">
        <v>1</v>
      </c>
      <c r="G74" s="4">
        <v>159999</v>
      </c>
      <c r="H74" s="4">
        <v>159999</v>
      </c>
      <c r="I74" s="2" t="s">
        <v>11</v>
      </c>
      <c r="J74" s="2" t="s">
        <v>12</v>
      </c>
    </row>
    <row r="75" spans="1:10" x14ac:dyDescent="0.35">
      <c r="A75" s="2">
        <v>10074</v>
      </c>
      <c r="B75" s="3" t="str">
        <f t="shared" si="4"/>
        <v>Março</v>
      </c>
      <c r="C75" s="3">
        <v>45365</v>
      </c>
      <c r="D75" s="2" t="s">
        <v>13</v>
      </c>
      <c r="E75" s="2" t="s">
        <v>94</v>
      </c>
      <c r="F75" s="2">
        <v>1</v>
      </c>
      <c r="G75" s="4">
        <v>89999</v>
      </c>
      <c r="H75" s="4">
        <v>89999</v>
      </c>
      <c r="I75" s="2" t="s">
        <v>15</v>
      </c>
      <c r="J75" s="2" t="s">
        <v>16</v>
      </c>
    </row>
    <row r="76" spans="1:10" x14ac:dyDescent="0.35">
      <c r="A76" s="2">
        <v>10075</v>
      </c>
      <c r="B76" s="3" t="str">
        <f t="shared" si="4"/>
        <v>Março</v>
      </c>
      <c r="C76" s="3">
        <v>45366</v>
      </c>
      <c r="D76" s="2" t="s">
        <v>17</v>
      </c>
      <c r="E76" s="2" t="s">
        <v>95</v>
      </c>
      <c r="F76" s="2">
        <v>5</v>
      </c>
      <c r="G76" s="4">
        <v>4999</v>
      </c>
      <c r="H76" s="4">
        <v>24995</v>
      </c>
      <c r="I76" s="2" t="s">
        <v>19</v>
      </c>
      <c r="J76" s="2" t="s">
        <v>20</v>
      </c>
    </row>
    <row r="77" spans="1:10" x14ac:dyDescent="0.35">
      <c r="A77" s="2">
        <v>10076</v>
      </c>
      <c r="B77" s="3" t="str">
        <f t="shared" si="4"/>
        <v>Março</v>
      </c>
      <c r="C77" s="3">
        <v>45367</v>
      </c>
      <c r="D77" s="2" t="s">
        <v>21</v>
      </c>
      <c r="E77" s="2" t="s">
        <v>96</v>
      </c>
      <c r="F77" s="2">
        <v>4</v>
      </c>
      <c r="G77" s="4">
        <v>1499</v>
      </c>
      <c r="H77" s="4">
        <v>5996</v>
      </c>
      <c r="I77" s="2" t="s">
        <v>11</v>
      </c>
      <c r="J77" s="2" t="s">
        <v>12</v>
      </c>
    </row>
    <row r="78" spans="1:10" x14ac:dyDescent="0.35">
      <c r="A78" s="2">
        <v>10077</v>
      </c>
      <c r="B78" s="3" t="str">
        <f t="shared" si="4"/>
        <v>Março</v>
      </c>
      <c r="C78" s="3">
        <v>45368</v>
      </c>
      <c r="D78" s="2" t="s">
        <v>23</v>
      </c>
      <c r="E78" s="2" t="s">
        <v>97</v>
      </c>
      <c r="F78" s="2">
        <v>2</v>
      </c>
      <c r="G78" s="4">
        <v>16</v>
      </c>
      <c r="H78" s="4">
        <v>32</v>
      </c>
      <c r="I78" s="2" t="s">
        <v>15</v>
      </c>
      <c r="J78" s="2" t="s">
        <v>16</v>
      </c>
    </row>
    <row r="79" spans="1:10" x14ac:dyDescent="0.35">
      <c r="A79" s="2">
        <v>10078</v>
      </c>
      <c r="B79" s="3" t="str">
        <f t="shared" si="4"/>
        <v>Março</v>
      </c>
      <c r="C79" s="3">
        <v>45369</v>
      </c>
      <c r="D79" s="2" t="s">
        <v>25</v>
      </c>
      <c r="E79" s="2" t="s">
        <v>98</v>
      </c>
      <c r="F79" s="2">
        <v>3</v>
      </c>
      <c r="G79" s="4">
        <v>6999</v>
      </c>
      <c r="H79" s="4">
        <v>20997</v>
      </c>
      <c r="I79" s="2" t="s">
        <v>19</v>
      </c>
      <c r="J79" s="2" t="s">
        <v>12</v>
      </c>
    </row>
    <row r="80" spans="1:10" x14ac:dyDescent="0.35">
      <c r="A80" s="2">
        <v>10079</v>
      </c>
      <c r="B80" s="3" t="str">
        <f t="shared" si="4"/>
        <v>Março</v>
      </c>
      <c r="C80" s="3">
        <v>45370</v>
      </c>
      <c r="D80" s="2" t="s">
        <v>9</v>
      </c>
      <c r="E80" s="2" t="s">
        <v>99</v>
      </c>
      <c r="F80" s="2">
        <v>2</v>
      </c>
      <c r="G80" s="4">
        <v>24999</v>
      </c>
      <c r="H80" s="4">
        <v>49998</v>
      </c>
      <c r="I80" s="2" t="s">
        <v>11</v>
      </c>
      <c r="J80" s="2" t="s">
        <v>12</v>
      </c>
    </row>
    <row r="81" spans="1:10" x14ac:dyDescent="0.35">
      <c r="A81" s="2">
        <v>10080</v>
      </c>
      <c r="B81" s="3" t="str">
        <f t="shared" si="4"/>
        <v>Março</v>
      </c>
      <c r="C81" s="3">
        <v>45371</v>
      </c>
      <c r="D81" s="2" t="s">
        <v>13</v>
      </c>
      <c r="E81" s="2" t="s">
        <v>100</v>
      </c>
      <c r="F81" s="2">
        <v>1</v>
      </c>
      <c r="G81" s="4">
        <v>49999</v>
      </c>
      <c r="H81" s="4">
        <v>49999</v>
      </c>
      <c r="I81" s="2" t="s">
        <v>15</v>
      </c>
      <c r="J81" s="2" t="s">
        <v>16</v>
      </c>
    </row>
    <row r="82" spans="1:10" x14ac:dyDescent="0.35">
      <c r="A82" s="2">
        <v>10081</v>
      </c>
      <c r="B82" s="3" t="str">
        <f t="shared" si="4"/>
        <v>Março</v>
      </c>
      <c r="C82" s="3">
        <v>45372</v>
      </c>
      <c r="D82" s="2" t="s">
        <v>17</v>
      </c>
      <c r="E82" s="2" t="s">
        <v>101</v>
      </c>
      <c r="F82" s="2">
        <v>2</v>
      </c>
      <c r="G82" s="4">
        <v>8999</v>
      </c>
      <c r="H82" s="4">
        <v>17998</v>
      </c>
      <c r="I82" s="2" t="s">
        <v>19</v>
      </c>
      <c r="J82" s="2" t="s">
        <v>20</v>
      </c>
    </row>
    <row r="83" spans="1:10" x14ac:dyDescent="0.35">
      <c r="A83" s="2">
        <v>10082</v>
      </c>
      <c r="B83" s="3" t="str">
        <f t="shared" si="4"/>
        <v>Março</v>
      </c>
      <c r="C83" s="3">
        <v>45373</v>
      </c>
      <c r="D83" s="2" t="s">
        <v>21</v>
      </c>
      <c r="E83" s="2" t="s">
        <v>102</v>
      </c>
      <c r="F83" s="2">
        <v>3</v>
      </c>
      <c r="G83" s="4">
        <v>1299</v>
      </c>
      <c r="H83" s="4">
        <v>3897</v>
      </c>
      <c r="I83" s="2" t="s">
        <v>11</v>
      </c>
      <c r="J83" s="2" t="s">
        <v>12</v>
      </c>
    </row>
    <row r="84" spans="1:10" x14ac:dyDescent="0.35">
      <c r="A84" s="2">
        <v>10083</v>
      </c>
      <c r="B84" s="3" t="str">
        <f t="shared" si="4"/>
        <v>Março</v>
      </c>
      <c r="C84" s="3">
        <v>45374</v>
      </c>
      <c r="D84" s="2" t="s">
        <v>23</v>
      </c>
      <c r="E84" s="2" t="s">
        <v>103</v>
      </c>
      <c r="F84" s="2">
        <v>1</v>
      </c>
      <c r="G84" s="4">
        <v>100</v>
      </c>
      <c r="H84" s="4">
        <v>100</v>
      </c>
      <c r="I84" s="2" t="s">
        <v>15</v>
      </c>
      <c r="J84" s="2" t="s">
        <v>16</v>
      </c>
    </row>
    <row r="85" spans="1:10" x14ac:dyDescent="0.35">
      <c r="A85" s="2">
        <v>10084</v>
      </c>
      <c r="B85" s="3" t="str">
        <f t="shared" si="4"/>
        <v>Março</v>
      </c>
      <c r="C85" s="3">
        <v>45375</v>
      </c>
      <c r="D85" s="2" t="s">
        <v>25</v>
      </c>
      <c r="E85" s="2" t="s">
        <v>104</v>
      </c>
      <c r="F85" s="2">
        <v>6</v>
      </c>
      <c r="G85" s="4">
        <v>2499</v>
      </c>
      <c r="H85" s="4">
        <v>14994</v>
      </c>
      <c r="I85" s="2" t="s">
        <v>19</v>
      </c>
      <c r="J85" s="2" t="s">
        <v>12</v>
      </c>
    </row>
    <row r="86" spans="1:10" x14ac:dyDescent="0.35">
      <c r="A86" s="2">
        <v>10085</v>
      </c>
      <c r="B86" s="3" t="str">
        <f t="shared" si="4"/>
        <v>Março</v>
      </c>
      <c r="C86" s="3">
        <v>45376</v>
      </c>
      <c r="D86" s="2" t="s">
        <v>9</v>
      </c>
      <c r="E86" s="2" t="s">
        <v>105</v>
      </c>
      <c r="F86" s="2">
        <v>1</v>
      </c>
      <c r="G86" s="4">
        <v>9999</v>
      </c>
      <c r="H86" s="4">
        <v>9999</v>
      </c>
      <c r="I86" s="2" t="s">
        <v>11</v>
      </c>
      <c r="J86" s="2" t="s">
        <v>12</v>
      </c>
    </row>
    <row r="87" spans="1:10" x14ac:dyDescent="0.35">
      <c r="A87" s="2">
        <v>10086</v>
      </c>
      <c r="B87" s="3" t="str">
        <f t="shared" si="4"/>
        <v>Março</v>
      </c>
      <c r="C87" s="3">
        <v>45377</v>
      </c>
      <c r="D87" s="2" t="s">
        <v>13</v>
      </c>
      <c r="E87" s="2" t="s">
        <v>106</v>
      </c>
      <c r="F87" s="2">
        <v>2</v>
      </c>
      <c r="G87" s="4">
        <v>129999</v>
      </c>
      <c r="H87" s="4">
        <v>259998</v>
      </c>
      <c r="I87" s="2" t="s">
        <v>15</v>
      </c>
      <c r="J87" s="2" t="s">
        <v>16</v>
      </c>
    </row>
    <row r="88" spans="1:10" x14ac:dyDescent="0.35">
      <c r="A88" s="2">
        <v>10087</v>
      </c>
      <c r="B88" s="3" t="str">
        <f t="shared" si="4"/>
        <v>Março</v>
      </c>
      <c r="C88" s="3">
        <v>45378</v>
      </c>
      <c r="D88" s="2" t="s">
        <v>17</v>
      </c>
      <c r="E88" s="2" t="s">
        <v>107</v>
      </c>
      <c r="F88" s="2">
        <v>3</v>
      </c>
      <c r="G88" s="4">
        <v>7999</v>
      </c>
      <c r="H88" s="4">
        <v>23997</v>
      </c>
      <c r="I88" s="2" t="s">
        <v>19</v>
      </c>
      <c r="J88" s="2" t="s">
        <v>20</v>
      </c>
    </row>
    <row r="89" spans="1:10" x14ac:dyDescent="0.35">
      <c r="A89" s="2">
        <v>10088</v>
      </c>
      <c r="B89" s="3" t="str">
        <f t="shared" si="4"/>
        <v>Março</v>
      </c>
      <c r="C89" s="3">
        <v>45379</v>
      </c>
      <c r="D89" s="2" t="s">
        <v>21</v>
      </c>
      <c r="E89" s="2" t="s">
        <v>108</v>
      </c>
      <c r="F89" s="2">
        <v>4</v>
      </c>
      <c r="G89" s="4">
        <v>1399</v>
      </c>
      <c r="H89" s="4">
        <v>5596</v>
      </c>
      <c r="I89" s="2" t="s">
        <v>11</v>
      </c>
      <c r="J89" s="2" t="s">
        <v>12</v>
      </c>
    </row>
    <row r="90" spans="1:10" x14ac:dyDescent="0.35">
      <c r="A90" s="2">
        <v>10089</v>
      </c>
      <c r="B90" s="3" t="str">
        <f t="shared" si="4"/>
        <v>Março</v>
      </c>
      <c r="C90" s="3">
        <v>45380</v>
      </c>
      <c r="D90" s="2" t="s">
        <v>23</v>
      </c>
      <c r="E90" s="2" t="s">
        <v>109</v>
      </c>
      <c r="F90" s="2">
        <v>1</v>
      </c>
      <c r="G90" s="4">
        <v>105</v>
      </c>
      <c r="H90" s="4">
        <v>105</v>
      </c>
      <c r="I90" s="2" t="s">
        <v>15</v>
      </c>
      <c r="J90" s="2" t="s">
        <v>16</v>
      </c>
    </row>
    <row r="91" spans="1:10" x14ac:dyDescent="0.35">
      <c r="A91" s="2">
        <v>10090</v>
      </c>
      <c r="B91" s="3" t="str">
        <f t="shared" si="4"/>
        <v>Março</v>
      </c>
      <c r="C91" s="3">
        <v>45381</v>
      </c>
      <c r="D91" s="2" t="s">
        <v>25</v>
      </c>
      <c r="E91" s="2" t="s">
        <v>110</v>
      </c>
      <c r="F91" s="2">
        <v>2</v>
      </c>
      <c r="G91" s="4">
        <v>12999</v>
      </c>
      <c r="H91" s="4">
        <v>25998</v>
      </c>
      <c r="I91" s="2" t="s">
        <v>19</v>
      </c>
      <c r="J91" s="2" t="s">
        <v>12</v>
      </c>
    </row>
    <row r="92" spans="1:10" x14ac:dyDescent="0.35">
      <c r="A92" s="2">
        <v>10091</v>
      </c>
      <c r="B92" s="3" t="str">
        <f t="shared" si="4"/>
        <v>Março</v>
      </c>
      <c r="C92" s="3">
        <v>45382</v>
      </c>
      <c r="D92" s="2" t="s">
        <v>9</v>
      </c>
      <c r="E92" s="2" t="s">
        <v>111</v>
      </c>
      <c r="F92" s="2">
        <v>2</v>
      </c>
      <c r="G92" s="4">
        <v>9999</v>
      </c>
      <c r="H92" s="4">
        <v>19998</v>
      </c>
      <c r="I92" s="2" t="s">
        <v>11</v>
      </c>
      <c r="J92" s="2" t="s">
        <v>12</v>
      </c>
    </row>
    <row r="93" spans="1:10" x14ac:dyDescent="0.35">
      <c r="A93" s="2">
        <v>10092</v>
      </c>
      <c r="B93" s="3" t="str">
        <f t="shared" si="4"/>
        <v>Abril</v>
      </c>
      <c r="C93" s="3">
        <v>45383</v>
      </c>
      <c r="D93" s="2" t="s">
        <v>13</v>
      </c>
      <c r="E93" s="2" t="s">
        <v>112</v>
      </c>
      <c r="F93" s="2">
        <v>1</v>
      </c>
      <c r="G93" s="4">
        <v>17999</v>
      </c>
      <c r="H93" s="4">
        <v>17999</v>
      </c>
      <c r="I93" s="2" t="s">
        <v>15</v>
      </c>
      <c r="J93" s="2" t="s">
        <v>16</v>
      </c>
    </row>
    <row r="94" spans="1:10" x14ac:dyDescent="0.35">
      <c r="A94" s="2">
        <v>10093</v>
      </c>
      <c r="B94" s="3" t="str">
        <f t="shared" si="4"/>
        <v>Abril</v>
      </c>
      <c r="C94" s="3">
        <v>45384</v>
      </c>
      <c r="D94" s="2" t="s">
        <v>17</v>
      </c>
      <c r="E94" s="2" t="s">
        <v>113</v>
      </c>
      <c r="F94" s="2">
        <v>4</v>
      </c>
      <c r="G94" s="4">
        <v>7999</v>
      </c>
      <c r="H94" s="4">
        <v>31996</v>
      </c>
      <c r="I94" s="2" t="s">
        <v>19</v>
      </c>
      <c r="J94" s="2" t="s">
        <v>20</v>
      </c>
    </row>
    <row r="95" spans="1:10" x14ac:dyDescent="0.35">
      <c r="A95" s="2">
        <v>10094</v>
      </c>
      <c r="B95" s="3" t="str">
        <f t="shared" si="4"/>
        <v>Abril</v>
      </c>
      <c r="C95" s="3">
        <v>45385</v>
      </c>
      <c r="D95" s="2" t="s">
        <v>21</v>
      </c>
      <c r="E95" s="2" t="s">
        <v>114</v>
      </c>
      <c r="F95" s="2">
        <v>3</v>
      </c>
      <c r="G95" s="4">
        <v>1499</v>
      </c>
      <c r="H95" s="4">
        <v>4497</v>
      </c>
      <c r="I95" s="2" t="s">
        <v>11</v>
      </c>
      <c r="J95" s="2" t="s">
        <v>12</v>
      </c>
    </row>
    <row r="96" spans="1:10" x14ac:dyDescent="0.35">
      <c r="A96" s="2">
        <v>10095</v>
      </c>
      <c r="B96" s="3" t="str">
        <f t="shared" si="4"/>
        <v>Abril</v>
      </c>
      <c r="C96" s="3">
        <v>45386</v>
      </c>
      <c r="D96" s="2" t="s">
        <v>23</v>
      </c>
      <c r="E96" s="2" t="s">
        <v>115</v>
      </c>
      <c r="F96" s="2">
        <v>1</v>
      </c>
      <c r="G96" s="4">
        <v>68</v>
      </c>
      <c r="H96" s="4">
        <v>68</v>
      </c>
      <c r="I96" s="2" t="s">
        <v>15</v>
      </c>
      <c r="J96" s="2" t="s">
        <v>16</v>
      </c>
    </row>
    <row r="97" spans="1:10" x14ac:dyDescent="0.35">
      <c r="A97" s="2">
        <v>10096</v>
      </c>
      <c r="B97" s="3" t="str">
        <f t="shared" si="4"/>
        <v>Abril</v>
      </c>
      <c r="C97" s="3">
        <v>45387</v>
      </c>
      <c r="D97" s="2" t="s">
        <v>25</v>
      </c>
      <c r="E97" s="2" t="s">
        <v>116</v>
      </c>
      <c r="F97" s="2">
        <v>1</v>
      </c>
      <c r="G97" s="4">
        <v>99999</v>
      </c>
      <c r="H97" s="4">
        <v>99999</v>
      </c>
      <c r="I97" s="2" t="s">
        <v>19</v>
      </c>
      <c r="J97" s="2" t="s">
        <v>12</v>
      </c>
    </row>
    <row r="98" spans="1:10" x14ac:dyDescent="0.35">
      <c r="A98" s="2">
        <v>10097</v>
      </c>
      <c r="B98" s="3" t="str">
        <f t="shared" si="4"/>
        <v>Abril</v>
      </c>
      <c r="C98" s="3">
        <v>45388</v>
      </c>
      <c r="D98" s="2" t="s">
        <v>9</v>
      </c>
      <c r="E98" s="2" t="s">
        <v>117</v>
      </c>
      <c r="F98" s="2">
        <v>3</v>
      </c>
      <c r="G98" s="4">
        <v>29999</v>
      </c>
      <c r="H98" s="4">
        <v>89997</v>
      </c>
      <c r="I98" s="2" t="s">
        <v>11</v>
      </c>
      <c r="J98" s="2" t="s">
        <v>12</v>
      </c>
    </row>
    <row r="99" spans="1:10" x14ac:dyDescent="0.35">
      <c r="A99" s="2">
        <v>10098</v>
      </c>
      <c r="B99" s="3" t="str">
        <f t="shared" si="4"/>
        <v>Abril</v>
      </c>
      <c r="C99" s="3">
        <v>45389</v>
      </c>
      <c r="D99" s="2" t="s">
        <v>13</v>
      </c>
      <c r="E99" s="2" t="s">
        <v>118</v>
      </c>
      <c r="F99" s="2">
        <v>1</v>
      </c>
      <c r="G99" s="4">
        <v>34999</v>
      </c>
      <c r="H99" s="4">
        <v>34999</v>
      </c>
      <c r="I99" s="2" t="s">
        <v>15</v>
      </c>
      <c r="J99" s="2" t="s">
        <v>16</v>
      </c>
    </row>
    <row r="100" spans="1:10" x14ac:dyDescent="0.35">
      <c r="A100" s="2">
        <v>10099</v>
      </c>
      <c r="B100" s="3" t="str">
        <f t="shared" si="4"/>
        <v>Abril</v>
      </c>
      <c r="C100" s="3">
        <v>45390</v>
      </c>
      <c r="D100" s="2" t="s">
        <v>17</v>
      </c>
      <c r="E100" s="2" t="s">
        <v>119</v>
      </c>
      <c r="F100" s="2">
        <v>6</v>
      </c>
      <c r="G100" s="4">
        <v>1999</v>
      </c>
      <c r="H100" s="4">
        <v>11994</v>
      </c>
      <c r="I100" s="2" t="s">
        <v>19</v>
      </c>
      <c r="J100" s="2" t="s">
        <v>20</v>
      </c>
    </row>
    <row r="101" spans="1:10" x14ac:dyDescent="0.35">
      <c r="A101" s="2">
        <v>10100</v>
      </c>
      <c r="B101" s="3" t="str">
        <f t="shared" si="4"/>
        <v>Abril</v>
      </c>
      <c r="C101" s="3">
        <v>45391</v>
      </c>
      <c r="D101" s="2" t="s">
        <v>21</v>
      </c>
      <c r="E101" s="2" t="s">
        <v>120</v>
      </c>
      <c r="F101" s="2">
        <v>2</v>
      </c>
      <c r="G101" s="4">
        <v>1299</v>
      </c>
      <c r="H101" s="4">
        <v>2598</v>
      </c>
      <c r="I101" s="2" t="s">
        <v>11</v>
      </c>
      <c r="J101" s="2" t="s">
        <v>12</v>
      </c>
    </row>
    <row r="102" spans="1:10" x14ac:dyDescent="0.35">
      <c r="A102" s="2">
        <v>10101</v>
      </c>
      <c r="B102" s="3" t="str">
        <f t="shared" si="4"/>
        <v>Abril</v>
      </c>
      <c r="C102" s="3">
        <v>45392</v>
      </c>
      <c r="D102" s="2" t="s">
        <v>23</v>
      </c>
      <c r="E102" s="2" t="s">
        <v>121</v>
      </c>
      <c r="F102" s="2">
        <v>1</v>
      </c>
      <c r="G102" s="4">
        <v>82</v>
      </c>
      <c r="H102" s="4">
        <v>82</v>
      </c>
      <c r="I102" s="2" t="s">
        <v>15</v>
      </c>
      <c r="J102" s="2" t="s">
        <v>16</v>
      </c>
    </row>
    <row r="103" spans="1:10" x14ac:dyDescent="0.35">
      <c r="A103" s="2">
        <v>10102</v>
      </c>
      <c r="B103" s="3" t="str">
        <f t="shared" si="4"/>
        <v>Abril</v>
      </c>
      <c r="C103" s="3">
        <v>45393</v>
      </c>
      <c r="D103" s="2" t="s">
        <v>25</v>
      </c>
      <c r="E103" s="2" t="s">
        <v>122</v>
      </c>
      <c r="F103" s="2">
        <v>2</v>
      </c>
      <c r="G103" s="4">
        <v>10999</v>
      </c>
      <c r="H103" s="4">
        <v>21998</v>
      </c>
      <c r="I103" s="2" t="s">
        <v>19</v>
      </c>
      <c r="J103" s="2" t="s">
        <v>12</v>
      </c>
    </row>
    <row r="104" spans="1:10" x14ac:dyDescent="0.35">
      <c r="A104" s="2">
        <v>10103</v>
      </c>
      <c r="B104" s="3" t="str">
        <f t="shared" si="4"/>
        <v>Abril</v>
      </c>
      <c r="C104" s="3">
        <v>45394</v>
      </c>
      <c r="D104" s="2" t="s">
        <v>9</v>
      </c>
      <c r="E104" s="2" t="s">
        <v>123</v>
      </c>
      <c r="F104" s="2">
        <v>1</v>
      </c>
      <c r="G104" s="4">
        <v>389999</v>
      </c>
      <c r="H104" s="4">
        <v>389999</v>
      </c>
      <c r="I104" s="2" t="s">
        <v>11</v>
      </c>
      <c r="J104" s="2" t="s">
        <v>12</v>
      </c>
    </row>
    <row r="105" spans="1:10" x14ac:dyDescent="0.35">
      <c r="A105" s="2">
        <v>10104</v>
      </c>
      <c r="B105" s="3" t="str">
        <f t="shared" si="4"/>
        <v>Abril</v>
      </c>
      <c r="C105" s="3">
        <v>45395</v>
      </c>
      <c r="D105" s="2" t="s">
        <v>13</v>
      </c>
      <c r="E105" s="2" t="s">
        <v>124</v>
      </c>
      <c r="F105" s="2">
        <v>2</v>
      </c>
      <c r="G105" s="4">
        <v>34999</v>
      </c>
      <c r="H105" s="4">
        <v>69998</v>
      </c>
      <c r="I105" s="2" t="s">
        <v>15</v>
      </c>
      <c r="J105" s="2" t="s">
        <v>16</v>
      </c>
    </row>
    <row r="106" spans="1:10" x14ac:dyDescent="0.35">
      <c r="A106" s="2">
        <v>10105</v>
      </c>
      <c r="B106" s="3" t="str">
        <f t="shared" si="4"/>
        <v>Abril</v>
      </c>
      <c r="C106" s="3">
        <v>45396</v>
      </c>
      <c r="D106" s="2" t="s">
        <v>17</v>
      </c>
      <c r="E106" s="2" t="s">
        <v>125</v>
      </c>
      <c r="F106" s="2">
        <v>3</v>
      </c>
      <c r="G106" s="4">
        <v>3999</v>
      </c>
      <c r="H106" s="4">
        <v>11997</v>
      </c>
      <c r="I106" s="2" t="s">
        <v>19</v>
      </c>
      <c r="J106" s="2" t="s">
        <v>20</v>
      </c>
    </row>
    <row r="107" spans="1:10" x14ac:dyDescent="0.35">
      <c r="A107" s="2">
        <v>10106</v>
      </c>
      <c r="B107" s="3" t="str">
        <f t="shared" si="4"/>
        <v>Abril</v>
      </c>
      <c r="C107" s="3">
        <v>45397</v>
      </c>
      <c r="D107" s="2" t="s">
        <v>21</v>
      </c>
      <c r="E107" s="2" t="s">
        <v>126</v>
      </c>
      <c r="F107" s="2">
        <v>4</v>
      </c>
      <c r="G107" s="4">
        <v>1099</v>
      </c>
      <c r="H107" s="4">
        <v>4396</v>
      </c>
      <c r="I107" s="2" t="s">
        <v>11</v>
      </c>
      <c r="J107" s="2" t="s">
        <v>12</v>
      </c>
    </row>
    <row r="108" spans="1:10" x14ac:dyDescent="0.35">
      <c r="A108" s="2">
        <v>10107</v>
      </c>
      <c r="B108" s="3" t="str">
        <f t="shared" si="4"/>
        <v>Abril</v>
      </c>
      <c r="C108" s="3">
        <v>45398</v>
      </c>
      <c r="D108" s="2" t="s">
        <v>23</v>
      </c>
      <c r="E108" s="2" t="s">
        <v>127</v>
      </c>
      <c r="F108" s="2">
        <v>1</v>
      </c>
      <c r="G108" s="4">
        <v>65</v>
      </c>
      <c r="H108" s="4">
        <v>65</v>
      </c>
      <c r="I108" s="2" t="s">
        <v>15</v>
      </c>
      <c r="J108" s="2" t="s">
        <v>16</v>
      </c>
    </row>
    <row r="109" spans="1:10" x14ac:dyDescent="0.35">
      <c r="A109" s="2">
        <v>10108</v>
      </c>
      <c r="B109" s="3" t="str">
        <f t="shared" si="4"/>
        <v>Abril</v>
      </c>
      <c r="C109" s="3">
        <v>45399</v>
      </c>
      <c r="D109" s="2" t="s">
        <v>25</v>
      </c>
      <c r="E109" s="2" t="s">
        <v>128</v>
      </c>
      <c r="F109" s="2">
        <v>1</v>
      </c>
      <c r="G109" s="4">
        <v>39999</v>
      </c>
      <c r="H109" s="4">
        <v>39999</v>
      </c>
      <c r="I109" s="2" t="s">
        <v>19</v>
      </c>
      <c r="J109" s="2" t="s">
        <v>12</v>
      </c>
    </row>
    <row r="110" spans="1:10" x14ac:dyDescent="0.35">
      <c r="A110" s="2">
        <v>10109</v>
      </c>
      <c r="B110" s="3" t="str">
        <f t="shared" si="4"/>
        <v>Abril</v>
      </c>
      <c r="C110" s="3">
        <v>45400</v>
      </c>
      <c r="D110" s="2" t="s">
        <v>9</v>
      </c>
      <c r="E110" s="2" t="s">
        <v>129</v>
      </c>
      <c r="F110" s="2">
        <v>2</v>
      </c>
      <c r="G110" s="4">
        <v>22999</v>
      </c>
      <c r="H110" s="4">
        <v>45998</v>
      </c>
      <c r="I110" s="2" t="s">
        <v>11</v>
      </c>
      <c r="J110" s="2" t="s">
        <v>12</v>
      </c>
    </row>
    <row r="111" spans="1:10" x14ac:dyDescent="0.35">
      <c r="A111" s="2">
        <v>10110</v>
      </c>
      <c r="B111" s="3" t="str">
        <f t="shared" si="4"/>
        <v>Abril</v>
      </c>
      <c r="C111" s="3">
        <v>45401</v>
      </c>
      <c r="D111" s="2" t="s">
        <v>13</v>
      </c>
      <c r="E111" s="2" t="s">
        <v>130</v>
      </c>
      <c r="F111" s="2">
        <v>1</v>
      </c>
      <c r="G111" s="4">
        <v>15999</v>
      </c>
      <c r="H111" s="4">
        <v>15999</v>
      </c>
      <c r="I111" s="2" t="s">
        <v>15</v>
      </c>
      <c r="J111" s="2" t="s">
        <v>16</v>
      </c>
    </row>
    <row r="112" spans="1:10" x14ac:dyDescent="0.35">
      <c r="A112" s="2">
        <v>10111</v>
      </c>
      <c r="B112" s="3" t="str">
        <f t="shared" si="4"/>
        <v>Abril</v>
      </c>
      <c r="C112" s="3">
        <v>45402</v>
      </c>
      <c r="D112" s="2" t="s">
        <v>17</v>
      </c>
      <c r="E112" s="2" t="s">
        <v>131</v>
      </c>
      <c r="F112" s="2">
        <v>4</v>
      </c>
      <c r="G112" s="4">
        <v>1499</v>
      </c>
      <c r="H112" s="4">
        <v>5996</v>
      </c>
      <c r="I112" s="2" t="s">
        <v>19</v>
      </c>
      <c r="J112" s="2" t="s">
        <v>20</v>
      </c>
    </row>
    <row r="113" spans="1:10" x14ac:dyDescent="0.35">
      <c r="A113" s="2">
        <v>10112</v>
      </c>
      <c r="B113" s="3" t="str">
        <f t="shared" si="4"/>
        <v>Abril</v>
      </c>
      <c r="C113" s="3">
        <v>45403</v>
      </c>
      <c r="D113" s="2" t="s">
        <v>21</v>
      </c>
      <c r="E113" s="2" t="s">
        <v>132</v>
      </c>
      <c r="F113" s="2">
        <v>2</v>
      </c>
      <c r="G113" s="4">
        <v>1899</v>
      </c>
      <c r="H113" s="4">
        <v>3798</v>
      </c>
      <c r="I113" s="2" t="s">
        <v>11</v>
      </c>
      <c r="J113" s="2" t="s">
        <v>12</v>
      </c>
    </row>
    <row r="114" spans="1:10" x14ac:dyDescent="0.35">
      <c r="A114" s="2">
        <v>10113</v>
      </c>
      <c r="B114" s="3" t="str">
        <f t="shared" si="4"/>
        <v>Abril</v>
      </c>
      <c r="C114" s="3">
        <v>45404</v>
      </c>
      <c r="D114" s="2" t="s">
        <v>23</v>
      </c>
      <c r="E114" s="2" t="s">
        <v>133</v>
      </c>
      <c r="F114" s="2">
        <v>1</v>
      </c>
      <c r="G114" s="4">
        <v>15</v>
      </c>
      <c r="H114" s="4">
        <v>15</v>
      </c>
      <c r="I114" s="2" t="s">
        <v>15</v>
      </c>
      <c r="J114" s="2" t="s">
        <v>16</v>
      </c>
    </row>
    <row r="115" spans="1:10" x14ac:dyDescent="0.35">
      <c r="A115" s="2">
        <v>10114</v>
      </c>
      <c r="B115" s="3" t="str">
        <f t="shared" si="4"/>
        <v>Abril</v>
      </c>
      <c r="C115" s="3">
        <v>45405</v>
      </c>
      <c r="D115" s="2" t="s">
        <v>25</v>
      </c>
      <c r="E115" s="2" t="s">
        <v>134</v>
      </c>
      <c r="F115" s="2">
        <v>3</v>
      </c>
      <c r="G115" s="4">
        <v>22995</v>
      </c>
      <c r="H115" s="4">
        <v>68985</v>
      </c>
      <c r="I115" s="2" t="s">
        <v>19</v>
      </c>
      <c r="J115" s="2" t="s">
        <v>12</v>
      </c>
    </row>
    <row r="116" spans="1:10" x14ac:dyDescent="0.35">
      <c r="A116" s="2">
        <v>10115</v>
      </c>
      <c r="B116" s="3" t="str">
        <f t="shared" si="4"/>
        <v>Abril</v>
      </c>
      <c r="C116" s="3">
        <v>45406</v>
      </c>
      <c r="D116" s="2" t="s">
        <v>9</v>
      </c>
      <c r="E116" s="2" t="s">
        <v>135</v>
      </c>
      <c r="F116" s="2">
        <v>1</v>
      </c>
      <c r="G116" s="4">
        <v>24999</v>
      </c>
      <c r="H116" s="4">
        <v>24999</v>
      </c>
      <c r="I116" s="2" t="s">
        <v>11</v>
      </c>
      <c r="J116" s="2" t="s">
        <v>12</v>
      </c>
    </row>
    <row r="117" spans="1:10" x14ac:dyDescent="0.35">
      <c r="A117" s="2">
        <v>10116</v>
      </c>
      <c r="B117" s="3" t="str">
        <f t="shared" si="4"/>
        <v>Abril</v>
      </c>
      <c r="C117" s="3">
        <v>45407</v>
      </c>
      <c r="D117" s="2" t="s">
        <v>13</v>
      </c>
      <c r="E117" s="2" t="s">
        <v>136</v>
      </c>
      <c r="F117" s="2">
        <v>2</v>
      </c>
      <c r="G117" s="4">
        <v>29995</v>
      </c>
      <c r="H117" s="4">
        <v>5999</v>
      </c>
      <c r="I117" s="2" t="s">
        <v>15</v>
      </c>
      <c r="J117" s="2" t="s">
        <v>16</v>
      </c>
    </row>
    <row r="118" spans="1:10" x14ac:dyDescent="0.35">
      <c r="A118" s="2">
        <v>10117</v>
      </c>
      <c r="B118" s="3" t="str">
        <f t="shared" si="4"/>
        <v>Abril</v>
      </c>
      <c r="C118" s="3">
        <v>45408</v>
      </c>
      <c r="D118" s="2" t="s">
        <v>17</v>
      </c>
      <c r="E118" s="2" t="s">
        <v>137</v>
      </c>
      <c r="F118" s="2">
        <v>3</v>
      </c>
      <c r="G118" s="4">
        <v>4999</v>
      </c>
      <c r="H118" s="4">
        <v>14997</v>
      </c>
      <c r="I118" s="2" t="s">
        <v>19</v>
      </c>
      <c r="J118" s="2" t="s">
        <v>20</v>
      </c>
    </row>
    <row r="119" spans="1:10" x14ac:dyDescent="0.35">
      <c r="A119" s="2">
        <v>10118</v>
      </c>
      <c r="B119" s="3" t="str">
        <f t="shared" si="4"/>
        <v>Abril</v>
      </c>
      <c r="C119" s="3">
        <v>45409</v>
      </c>
      <c r="D119" s="2" t="s">
        <v>21</v>
      </c>
      <c r="E119" s="2" t="s">
        <v>138</v>
      </c>
      <c r="F119" s="2">
        <v>4</v>
      </c>
      <c r="G119" s="4">
        <v>1699</v>
      </c>
      <c r="H119" s="4">
        <v>6796</v>
      </c>
      <c r="I119" s="2" t="s">
        <v>11</v>
      </c>
      <c r="J119" s="2" t="s">
        <v>12</v>
      </c>
    </row>
    <row r="120" spans="1:10" x14ac:dyDescent="0.35">
      <c r="A120" s="2">
        <v>10119</v>
      </c>
      <c r="B120" s="3" t="str">
        <f t="shared" si="4"/>
        <v>Abril</v>
      </c>
      <c r="C120" s="3">
        <v>45410</v>
      </c>
      <c r="D120" s="2" t="s">
        <v>23</v>
      </c>
      <c r="E120" s="2" t="s">
        <v>139</v>
      </c>
      <c r="F120" s="2">
        <v>2</v>
      </c>
      <c r="G120" s="4">
        <v>1499</v>
      </c>
      <c r="H120" s="4">
        <v>2998</v>
      </c>
      <c r="I120" s="2" t="s">
        <v>15</v>
      </c>
      <c r="J120" s="2" t="s">
        <v>16</v>
      </c>
    </row>
    <row r="121" spans="1:10" x14ac:dyDescent="0.35">
      <c r="A121" s="2">
        <v>10120</v>
      </c>
      <c r="B121" s="3" t="str">
        <f t="shared" si="4"/>
        <v>Abril</v>
      </c>
      <c r="C121" s="3">
        <v>45411</v>
      </c>
      <c r="D121" s="2" t="s">
        <v>25</v>
      </c>
      <c r="E121" s="2" t="s">
        <v>140</v>
      </c>
      <c r="F121" s="2">
        <v>1</v>
      </c>
      <c r="G121" s="4">
        <v>24999</v>
      </c>
      <c r="H121" s="4">
        <v>24999</v>
      </c>
      <c r="I121" s="2" t="s">
        <v>19</v>
      </c>
      <c r="J121" s="2" t="s">
        <v>12</v>
      </c>
    </row>
    <row r="122" spans="1:10" x14ac:dyDescent="0.35">
      <c r="A122" s="2">
        <v>10121</v>
      </c>
      <c r="B122" s="3" t="str">
        <f t="shared" si="4"/>
        <v>Abril</v>
      </c>
      <c r="C122" s="3">
        <v>45412</v>
      </c>
      <c r="D122" s="2" t="s">
        <v>9</v>
      </c>
      <c r="E122" s="2" t="s">
        <v>141</v>
      </c>
      <c r="F122" s="2">
        <v>2</v>
      </c>
      <c r="G122" s="4">
        <v>59999</v>
      </c>
      <c r="H122" s="4">
        <v>119998</v>
      </c>
      <c r="I122" s="2" t="s">
        <v>11</v>
      </c>
      <c r="J122" s="2" t="s">
        <v>12</v>
      </c>
    </row>
    <row r="123" spans="1:10" x14ac:dyDescent="0.35">
      <c r="A123" s="2">
        <v>10122</v>
      </c>
      <c r="B123" s="3" t="str">
        <f t="shared" si="4"/>
        <v>Maio</v>
      </c>
      <c r="C123" s="3">
        <v>45413</v>
      </c>
      <c r="D123" s="2" t="s">
        <v>13</v>
      </c>
      <c r="E123" s="2" t="s">
        <v>142</v>
      </c>
      <c r="F123" s="2">
        <v>1</v>
      </c>
      <c r="G123" s="4">
        <v>8999</v>
      </c>
      <c r="H123" s="4">
        <v>8999</v>
      </c>
      <c r="I123" s="2" t="s">
        <v>15</v>
      </c>
      <c r="J123" s="2" t="s">
        <v>16</v>
      </c>
    </row>
    <row r="124" spans="1:10" x14ac:dyDescent="0.35">
      <c r="A124" s="2">
        <v>10123</v>
      </c>
      <c r="B124" s="3" t="str">
        <f t="shared" si="4"/>
        <v>Maio</v>
      </c>
      <c r="C124" s="3">
        <v>45414</v>
      </c>
      <c r="D124" s="2" t="s">
        <v>17</v>
      </c>
      <c r="E124" s="2" t="s">
        <v>143</v>
      </c>
      <c r="F124" s="2">
        <v>5</v>
      </c>
      <c r="G124" s="4">
        <v>1299</v>
      </c>
      <c r="H124" s="4">
        <v>6495</v>
      </c>
      <c r="I124" s="2" t="s">
        <v>19</v>
      </c>
      <c r="J124" s="2" t="s">
        <v>20</v>
      </c>
    </row>
    <row r="125" spans="1:10" x14ac:dyDescent="0.35">
      <c r="A125" s="2">
        <v>10124</v>
      </c>
      <c r="B125" s="3" t="str">
        <f t="shared" si="4"/>
        <v>Maio</v>
      </c>
      <c r="C125" s="3">
        <v>45415</v>
      </c>
      <c r="D125" s="2" t="s">
        <v>21</v>
      </c>
      <c r="E125" s="2" t="s">
        <v>144</v>
      </c>
      <c r="F125" s="2">
        <v>3</v>
      </c>
      <c r="G125" s="4">
        <v>1499</v>
      </c>
      <c r="H125" s="4">
        <v>4497</v>
      </c>
      <c r="I125" s="2" t="s">
        <v>11</v>
      </c>
      <c r="J125" s="2" t="s">
        <v>12</v>
      </c>
    </row>
    <row r="126" spans="1:10" x14ac:dyDescent="0.35">
      <c r="A126" s="2">
        <v>10125</v>
      </c>
      <c r="B126" s="3" t="str">
        <f t="shared" si="4"/>
        <v>Maio</v>
      </c>
      <c r="C126" s="3">
        <v>45416</v>
      </c>
      <c r="D126" s="2" t="s">
        <v>23</v>
      </c>
      <c r="E126" s="2" t="s">
        <v>145</v>
      </c>
      <c r="F126" s="2">
        <v>1</v>
      </c>
      <c r="G126" s="4">
        <v>30</v>
      </c>
      <c r="H126" s="4">
        <v>30</v>
      </c>
      <c r="I126" s="2" t="s">
        <v>15</v>
      </c>
      <c r="J126" s="2" t="s">
        <v>16</v>
      </c>
    </row>
    <row r="127" spans="1:10" x14ac:dyDescent="0.35">
      <c r="A127" s="2">
        <v>10126</v>
      </c>
      <c r="B127" s="3" t="str">
        <f t="shared" si="4"/>
        <v>Maio</v>
      </c>
      <c r="C127" s="3">
        <v>45417</v>
      </c>
      <c r="D127" s="2" t="s">
        <v>25</v>
      </c>
      <c r="E127" s="2" t="s">
        <v>146</v>
      </c>
      <c r="F127" s="2">
        <v>1</v>
      </c>
      <c r="G127" s="4">
        <v>19999</v>
      </c>
      <c r="H127" s="4">
        <v>19999</v>
      </c>
      <c r="I127" s="2" t="s">
        <v>19</v>
      </c>
      <c r="J127" s="2" t="s">
        <v>12</v>
      </c>
    </row>
    <row r="128" spans="1:10" x14ac:dyDescent="0.35">
      <c r="A128" s="2">
        <v>10127</v>
      </c>
      <c r="B128" s="3" t="str">
        <f t="shared" si="4"/>
        <v>Maio</v>
      </c>
      <c r="C128" s="3">
        <v>45418</v>
      </c>
      <c r="D128" s="2" t="s">
        <v>9</v>
      </c>
      <c r="E128" s="2" t="s">
        <v>147</v>
      </c>
      <c r="F128" s="2">
        <v>1</v>
      </c>
      <c r="G128" s="4">
        <v>49999</v>
      </c>
      <c r="H128" s="4">
        <v>49999</v>
      </c>
      <c r="I128" s="2" t="s">
        <v>11</v>
      </c>
      <c r="J128" s="2" t="s">
        <v>12</v>
      </c>
    </row>
    <row r="129" spans="1:10" x14ac:dyDescent="0.35">
      <c r="A129" s="2">
        <v>10128</v>
      </c>
      <c r="B129" s="3" t="str">
        <f t="shared" si="4"/>
        <v>Maio</v>
      </c>
      <c r="C129" s="3">
        <v>45419</v>
      </c>
      <c r="D129" s="2" t="s">
        <v>13</v>
      </c>
      <c r="E129" s="2" t="s">
        <v>37</v>
      </c>
      <c r="F129" s="2">
        <v>2</v>
      </c>
      <c r="G129" s="4">
        <v>39999</v>
      </c>
      <c r="H129" s="4">
        <v>79998</v>
      </c>
      <c r="I129" s="2" t="s">
        <v>15</v>
      </c>
      <c r="J129" s="2" t="s">
        <v>16</v>
      </c>
    </row>
    <row r="130" spans="1:10" x14ac:dyDescent="0.35">
      <c r="A130" s="2">
        <v>10129</v>
      </c>
      <c r="B130" s="3" t="str">
        <f t="shared" ref="B130:B193" si="5">PROPER(TEXT(C130,"MMMM"))</f>
        <v>Maio</v>
      </c>
      <c r="C130" s="3">
        <v>45420</v>
      </c>
      <c r="D130" s="2" t="s">
        <v>17</v>
      </c>
      <c r="E130" s="2" t="s">
        <v>148</v>
      </c>
      <c r="F130" s="2">
        <v>3</v>
      </c>
      <c r="G130" s="4">
        <v>98</v>
      </c>
      <c r="H130" s="4">
        <v>294</v>
      </c>
      <c r="I130" s="2" t="s">
        <v>19</v>
      </c>
      <c r="J130" s="2" t="s">
        <v>20</v>
      </c>
    </row>
    <row r="131" spans="1:10" x14ac:dyDescent="0.35">
      <c r="A131" s="2">
        <v>10130</v>
      </c>
      <c r="B131" s="3" t="str">
        <f t="shared" si="5"/>
        <v>Maio</v>
      </c>
      <c r="C131" s="3">
        <v>45421</v>
      </c>
      <c r="D131" s="2" t="s">
        <v>21</v>
      </c>
      <c r="E131" s="2" t="s">
        <v>149</v>
      </c>
      <c r="F131" s="2">
        <v>2</v>
      </c>
      <c r="G131" s="4">
        <v>899</v>
      </c>
      <c r="H131" s="4">
        <v>1798</v>
      </c>
      <c r="I131" s="2" t="s">
        <v>11</v>
      </c>
      <c r="J131" s="2" t="s">
        <v>12</v>
      </c>
    </row>
    <row r="132" spans="1:10" x14ac:dyDescent="0.35">
      <c r="A132" s="2">
        <v>10131</v>
      </c>
      <c r="B132" s="3" t="str">
        <f t="shared" si="5"/>
        <v>Maio</v>
      </c>
      <c r="C132" s="3">
        <v>45422</v>
      </c>
      <c r="D132" s="2" t="s">
        <v>23</v>
      </c>
      <c r="E132" s="2" t="s">
        <v>150</v>
      </c>
      <c r="F132" s="2">
        <v>1</v>
      </c>
      <c r="G132" s="4">
        <v>36</v>
      </c>
      <c r="H132" s="4">
        <v>36</v>
      </c>
      <c r="I132" s="2" t="s">
        <v>15</v>
      </c>
      <c r="J132" s="2" t="s">
        <v>16</v>
      </c>
    </row>
    <row r="133" spans="1:10" x14ac:dyDescent="0.35">
      <c r="A133" s="2">
        <v>10132</v>
      </c>
      <c r="B133" s="3" t="str">
        <f t="shared" si="5"/>
        <v>Maio</v>
      </c>
      <c r="C133" s="3">
        <v>45423</v>
      </c>
      <c r="D133" s="2" t="s">
        <v>25</v>
      </c>
      <c r="E133" s="2" t="s">
        <v>151</v>
      </c>
      <c r="F133" s="2">
        <v>4</v>
      </c>
      <c r="G133" s="4">
        <v>3995</v>
      </c>
      <c r="H133" s="4">
        <v>1598</v>
      </c>
      <c r="I133" s="2" t="s">
        <v>19</v>
      </c>
      <c r="J133" s="2" t="s">
        <v>12</v>
      </c>
    </row>
    <row r="134" spans="1:10" x14ac:dyDescent="0.35">
      <c r="A134" s="2">
        <v>10133</v>
      </c>
      <c r="B134" s="3" t="str">
        <f t="shared" si="5"/>
        <v>Maio</v>
      </c>
      <c r="C134" s="3">
        <v>45424</v>
      </c>
      <c r="D134" s="2" t="s">
        <v>9</v>
      </c>
      <c r="E134" s="2" t="s">
        <v>152</v>
      </c>
      <c r="F134" s="2">
        <v>1</v>
      </c>
      <c r="G134" s="4">
        <v>129999</v>
      </c>
      <c r="H134" s="4">
        <v>129999</v>
      </c>
      <c r="I134" s="2" t="s">
        <v>11</v>
      </c>
      <c r="J134" s="2" t="s">
        <v>12</v>
      </c>
    </row>
    <row r="135" spans="1:10" x14ac:dyDescent="0.35">
      <c r="A135" s="2">
        <v>10134</v>
      </c>
      <c r="B135" s="3" t="str">
        <f t="shared" si="5"/>
        <v>Maio</v>
      </c>
      <c r="C135" s="3">
        <v>45425</v>
      </c>
      <c r="D135" s="2" t="s">
        <v>13</v>
      </c>
      <c r="E135" s="2" t="s">
        <v>153</v>
      </c>
      <c r="F135" s="2">
        <v>2</v>
      </c>
      <c r="G135" s="4">
        <v>7999</v>
      </c>
      <c r="H135" s="4">
        <v>15998</v>
      </c>
      <c r="I135" s="2" t="s">
        <v>15</v>
      </c>
      <c r="J135" s="2" t="s">
        <v>16</v>
      </c>
    </row>
    <row r="136" spans="1:10" x14ac:dyDescent="0.35">
      <c r="A136" s="2">
        <v>10135</v>
      </c>
      <c r="B136" s="3" t="str">
        <f t="shared" si="5"/>
        <v>Maio</v>
      </c>
      <c r="C136" s="3">
        <v>45426</v>
      </c>
      <c r="D136" s="2" t="s">
        <v>17</v>
      </c>
      <c r="E136" s="2" t="s">
        <v>154</v>
      </c>
      <c r="F136" s="2">
        <v>4</v>
      </c>
      <c r="G136" s="4">
        <v>3499</v>
      </c>
      <c r="H136" s="4">
        <v>13996</v>
      </c>
      <c r="I136" s="2" t="s">
        <v>19</v>
      </c>
      <c r="J136" s="2" t="s">
        <v>20</v>
      </c>
    </row>
    <row r="137" spans="1:10" x14ac:dyDescent="0.35">
      <c r="A137" s="2">
        <v>10136</v>
      </c>
      <c r="B137" s="3" t="str">
        <f t="shared" si="5"/>
        <v>Maio</v>
      </c>
      <c r="C137" s="3">
        <v>45427</v>
      </c>
      <c r="D137" s="2" t="s">
        <v>21</v>
      </c>
      <c r="E137" s="2" t="s">
        <v>155</v>
      </c>
      <c r="F137" s="2">
        <v>3</v>
      </c>
      <c r="G137" s="4">
        <v>999</v>
      </c>
      <c r="H137" s="4">
        <v>2997</v>
      </c>
      <c r="I137" s="2" t="s">
        <v>11</v>
      </c>
      <c r="J137" s="2" t="s">
        <v>12</v>
      </c>
    </row>
    <row r="138" spans="1:10" x14ac:dyDescent="0.35">
      <c r="A138" s="2">
        <v>10137</v>
      </c>
      <c r="B138" s="3" t="str">
        <f t="shared" si="5"/>
        <v>Maio</v>
      </c>
      <c r="C138" s="3">
        <v>45428</v>
      </c>
      <c r="D138" s="2" t="s">
        <v>23</v>
      </c>
      <c r="E138" s="2" t="s">
        <v>156</v>
      </c>
      <c r="F138" s="2">
        <v>1</v>
      </c>
      <c r="G138" s="4">
        <v>68</v>
      </c>
      <c r="H138" s="4">
        <v>68</v>
      </c>
      <c r="I138" s="2" t="s">
        <v>15</v>
      </c>
      <c r="J138" s="2" t="s">
        <v>16</v>
      </c>
    </row>
    <row r="139" spans="1:10" x14ac:dyDescent="0.35">
      <c r="A139" s="2">
        <v>10138</v>
      </c>
      <c r="B139" s="3" t="str">
        <f t="shared" si="5"/>
        <v>Maio</v>
      </c>
      <c r="C139" s="3">
        <v>45429</v>
      </c>
      <c r="D139" s="2" t="s">
        <v>25</v>
      </c>
      <c r="E139" s="2" t="s">
        <v>157</v>
      </c>
      <c r="F139" s="2">
        <v>2</v>
      </c>
      <c r="G139" s="4">
        <v>9995</v>
      </c>
      <c r="H139" s="4">
        <v>1999</v>
      </c>
      <c r="I139" s="2" t="s">
        <v>19</v>
      </c>
      <c r="J139" s="2" t="s">
        <v>12</v>
      </c>
    </row>
    <row r="140" spans="1:10" x14ac:dyDescent="0.35">
      <c r="A140" s="2">
        <v>10139</v>
      </c>
      <c r="B140" s="3" t="str">
        <f t="shared" si="5"/>
        <v>Maio</v>
      </c>
      <c r="C140" s="3">
        <v>45430</v>
      </c>
      <c r="D140" s="2" t="s">
        <v>9</v>
      </c>
      <c r="E140" s="2" t="s">
        <v>158</v>
      </c>
      <c r="F140" s="2">
        <v>1</v>
      </c>
      <c r="G140" s="4">
        <v>149999</v>
      </c>
      <c r="H140" s="4">
        <v>149999</v>
      </c>
      <c r="I140" s="2" t="s">
        <v>11</v>
      </c>
      <c r="J140" s="2" t="s">
        <v>12</v>
      </c>
    </row>
    <row r="141" spans="1:10" x14ac:dyDescent="0.35">
      <c r="A141" s="2">
        <v>10140</v>
      </c>
      <c r="B141" s="3" t="str">
        <f t="shared" si="5"/>
        <v>Maio</v>
      </c>
      <c r="C141" s="3">
        <v>45431</v>
      </c>
      <c r="D141" s="2" t="s">
        <v>13</v>
      </c>
      <c r="E141" s="2" t="s">
        <v>159</v>
      </c>
      <c r="F141" s="2">
        <v>1</v>
      </c>
      <c r="G141" s="4">
        <v>13999</v>
      </c>
      <c r="H141" s="4">
        <v>13999</v>
      </c>
      <c r="I141" s="2" t="s">
        <v>15</v>
      </c>
      <c r="J141" s="2" t="s">
        <v>16</v>
      </c>
    </row>
    <row r="142" spans="1:10" x14ac:dyDescent="0.35">
      <c r="A142" s="2">
        <v>10141</v>
      </c>
      <c r="B142" s="3" t="str">
        <f t="shared" si="5"/>
        <v>Maio</v>
      </c>
      <c r="C142" s="3">
        <v>45432</v>
      </c>
      <c r="D142" s="2" t="s">
        <v>17</v>
      </c>
      <c r="E142" s="2" t="s">
        <v>160</v>
      </c>
      <c r="F142" s="2">
        <v>3</v>
      </c>
      <c r="G142" s="4">
        <v>4499</v>
      </c>
      <c r="H142" s="4">
        <v>13497</v>
      </c>
      <c r="I142" s="2" t="s">
        <v>19</v>
      </c>
      <c r="J142" s="2" t="s">
        <v>20</v>
      </c>
    </row>
    <row r="143" spans="1:10" x14ac:dyDescent="0.35">
      <c r="A143" s="2">
        <v>10142</v>
      </c>
      <c r="B143" s="3" t="str">
        <f t="shared" si="5"/>
        <v>Maio</v>
      </c>
      <c r="C143" s="3">
        <v>45433</v>
      </c>
      <c r="D143" s="2" t="s">
        <v>21</v>
      </c>
      <c r="E143" s="2" t="s">
        <v>161</v>
      </c>
      <c r="F143" s="2">
        <v>2</v>
      </c>
      <c r="G143" s="4">
        <v>1199</v>
      </c>
      <c r="H143" s="4">
        <v>2398</v>
      </c>
      <c r="I143" s="2" t="s">
        <v>11</v>
      </c>
      <c r="J143" s="2" t="s">
        <v>12</v>
      </c>
    </row>
    <row r="144" spans="1:10" x14ac:dyDescent="0.35">
      <c r="A144" s="2">
        <v>10143</v>
      </c>
      <c r="B144" s="3" t="str">
        <f t="shared" si="5"/>
        <v>Maio</v>
      </c>
      <c r="C144" s="3">
        <v>45434</v>
      </c>
      <c r="D144" s="2" t="s">
        <v>23</v>
      </c>
      <c r="E144" s="2" t="s">
        <v>162</v>
      </c>
      <c r="F144" s="2">
        <v>1</v>
      </c>
      <c r="G144" s="4">
        <v>295</v>
      </c>
      <c r="H144" s="4">
        <v>295</v>
      </c>
      <c r="I144" s="2" t="s">
        <v>15</v>
      </c>
      <c r="J144" s="2" t="s">
        <v>16</v>
      </c>
    </row>
    <row r="145" spans="1:10" x14ac:dyDescent="0.35">
      <c r="A145" s="2">
        <v>10144</v>
      </c>
      <c r="B145" s="3" t="str">
        <f t="shared" si="5"/>
        <v>Maio</v>
      </c>
      <c r="C145" s="3">
        <v>45435</v>
      </c>
      <c r="D145" s="2" t="s">
        <v>25</v>
      </c>
      <c r="E145" s="2" t="s">
        <v>163</v>
      </c>
      <c r="F145" s="2">
        <v>1</v>
      </c>
      <c r="G145" s="4">
        <v>29999</v>
      </c>
      <c r="H145" s="4">
        <v>29999</v>
      </c>
      <c r="I145" s="2" t="s">
        <v>19</v>
      </c>
      <c r="J145" s="2" t="s">
        <v>12</v>
      </c>
    </row>
    <row r="146" spans="1:10" x14ac:dyDescent="0.35">
      <c r="A146" s="2">
        <v>10145</v>
      </c>
      <c r="B146" s="3" t="str">
        <f t="shared" si="5"/>
        <v>Maio</v>
      </c>
      <c r="C146" s="3">
        <v>45436</v>
      </c>
      <c r="D146" s="2" t="s">
        <v>9</v>
      </c>
      <c r="E146" s="2" t="s">
        <v>164</v>
      </c>
      <c r="F146" s="2">
        <v>1</v>
      </c>
      <c r="G146" s="4">
        <v>549</v>
      </c>
      <c r="H146" s="4">
        <v>549</v>
      </c>
      <c r="I146" s="2" t="s">
        <v>11</v>
      </c>
      <c r="J146" s="2" t="s">
        <v>12</v>
      </c>
    </row>
    <row r="147" spans="1:10" x14ac:dyDescent="0.35">
      <c r="A147" s="2">
        <v>10146</v>
      </c>
      <c r="B147" s="3" t="str">
        <f t="shared" si="5"/>
        <v>Maio</v>
      </c>
      <c r="C147" s="3">
        <v>45437</v>
      </c>
      <c r="D147" s="2" t="s">
        <v>13</v>
      </c>
      <c r="E147" s="2" t="s">
        <v>165</v>
      </c>
      <c r="F147" s="2">
        <v>2</v>
      </c>
      <c r="G147" s="4">
        <v>19995</v>
      </c>
      <c r="H147" s="4">
        <v>3999</v>
      </c>
      <c r="I147" s="2" t="s">
        <v>15</v>
      </c>
      <c r="J147" s="2" t="s">
        <v>16</v>
      </c>
    </row>
    <row r="148" spans="1:10" x14ac:dyDescent="0.35">
      <c r="A148" s="2">
        <v>10147</v>
      </c>
      <c r="B148" s="3" t="str">
        <f t="shared" si="5"/>
        <v>Maio</v>
      </c>
      <c r="C148" s="3">
        <v>45438</v>
      </c>
      <c r="D148" s="2" t="s">
        <v>17</v>
      </c>
      <c r="E148" s="2" t="s">
        <v>166</v>
      </c>
      <c r="F148" s="2">
        <v>2</v>
      </c>
      <c r="G148" s="4">
        <v>98</v>
      </c>
      <c r="H148" s="4">
        <v>196</v>
      </c>
      <c r="I148" s="2" t="s">
        <v>19</v>
      </c>
      <c r="J148" s="2" t="s">
        <v>20</v>
      </c>
    </row>
    <row r="149" spans="1:10" x14ac:dyDescent="0.35">
      <c r="A149" s="2">
        <v>10148</v>
      </c>
      <c r="B149" s="3" t="str">
        <f t="shared" si="5"/>
        <v>Maio</v>
      </c>
      <c r="C149" s="3">
        <v>45439</v>
      </c>
      <c r="D149" s="2" t="s">
        <v>21</v>
      </c>
      <c r="E149" s="2" t="s">
        <v>167</v>
      </c>
      <c r="F149" s="2">
        <v>3</v>
      </c>
      <c r="G149" s="4">
        <v>1099</v>
      </c>
      <c r="H149" s="4">
        <v>3297</v>
      </c>
      <c r="I149" s="2" t="s">
        <v>11</v>
      </c>
      <c r="J149" s="2" t="s">
        <v>12</v>
      </c>
    </row>
    <row r="150" spans="1:10" x14ac:dyDescent="0.35">
      <c r="A150" s="2">
        <v>10149</v>
      </c>
      <c r="B150" s="3" t="str">
        <f t="shared" si="5"/>
        <v>Maio</v>
      </c>
      <c r="C150" s="3">
        <v>45440</v>
      </c>
      <c r="D150" s="2" t="s">
        <v>23</v>
      </c>
      <c r="E150" s="2" t="s">
        <v>168</v>
      </c>
      <c r="F150" s="2">
        <v>1</v>
      </c>
      <c r="G150" s="4">
        <v>25</v>
      </c>
      <c r="H150" s="4">
        <v>25</v>
      </c>
      <c r="I150" s="2" t="s">
        <v>15</v>
      </c>
      <c r="J150" s="2" t="s">
        <v>16</v>
      </c>
    </row>
    <row r="151" spans="1:10" x14ac:dyDescent="0.35">
      <c r="A151" s="2">
        <v>10150</v>
      </c>
      <c r="B151" s="3" t="str">
        <f t="shared" si="5"/>
        <v>Maio</v>
      </c>
      <c r="C151" s="3">
        <v>45441</v>
      </c>
      <c r="D151" s="2" t="s">
        <v>25</v>
      </c>
      <c r="E151" s="2" t="s">
        <v>169</v>
      </c>
      <c r="F151" s="2">
        <v>2</v>
      </c>
      <c r="G151" s="4">
        <v>14999</v>
      </c>
      <c r="H151" s="4">
        <v>29998</v>
      </c>
      <c r="I151" s="2" t="s">
        <v>19</v>
      </c>
      <c r="J151" s="2" t="s">
        <v>12</v>
      </c>
    </row>
    <row r="152" spans="1:10" x14ac:dyDescent="0.35">
      <c r="A152" s="2">
        <v>10151</v>
      </c>
      <c r="B152" s="3" t="str">
        <f t="shared" si="5"/>
        <v>Maio</v>
      </c>
      <c r="C152" s="3">
        <v>45442</v>
      </c>
      <c r="D152" s="2" t="s">
        <v>9</v>
      </c>
      <c r="E152" s="2" t="s">
        <v>51</v>
      </c>
      <c r="F152" s="2">
        <v>1</v>
      </c>
      <c r="G152" s="4">
        <v>34999</v>
      </c>
      <c r="H152" s="4">
        <v>34999</v>
      </c>
      <c r="I152" s="2" t="s">
        <v>11</v>
      </c>
      <c r="J152" s="2" t="s">
        <v>12</v>
      </c>
    </row>
    <row r="153" spans="1:10" x14ac:dyDescent="0.35">
      <c r="A153" s="2">
        <v>10152</v>
      </c>
      <c r="B153" s="3" t="str">
        <f t="shared" si="5"/>
        <v>Maio</v>
      </c>
      <c r="C153" s="3">
        <v>45443</v>
      </c>
      <c r="D153" s="2" t="s">
        <v>13</v>
      </c>
      <c r="E153" s="2" t="s">
        <v>170</v>
      </c>
      <c r="F153" s="2">
        <v>2</v>
      </c>
      <c r="G153" s="4">
        <v>19999</v>
      </c>
      <c r="H153" s="4">
        <v>39998</v>
      </c>
      <c r="I153" s="2" t="s">
        <v>15</v>
      </c>
      <c r="J153" s="2" t="s">
        <v>16</v>
      </c>
    </row>
    <row r="154" spans="1:10" x14ac:dyDescent="0.35">
      <c r="A154" s="2">
        <v>10153</v>
      </c>
      <c r="B154" s="3" t="str">
        <f t="shared" si="5"/>
        <v>Junho</v>
      </c>
      <c r="C154" s="3">
        <v>45444</v>
      </c>
      <c r="D154" s="2" t="s">
        <v>17</v>
      </c>
      <c r="E154" s="2" t="s">
        <v>171</v>
      </c>
      <c r="F154" s="2">
        <v>3</v>
      </c>
      <c r="G154" s="4">
        <v>5499</v>
      </c>
      <c r="H154" s="4">
        <v>16497</v>
      </c>
      <c r="I154" s="2" t="s">
        <v>19</v>
      </c>
      <c r="J154" s="2" t="s">
        <v>20</v>
      </c>
    </row>
    <row r="155" spans="1:10" x14ac:dyDescent="0.35">
      <c r="A155" s="2">
        <v>10154</v>
      </c>
      <c r="B155" s="3" t="str">
        <f t="shared" si="5"/>
        <v>Junho</v>
      </c>
      <c r="C155" s="3">
        <v>45445</v>
      </c>
      <c r="D155" s="2" t="s">
        <v>21</v>
      </c>
      <c r="E155" s="2" t="s">
        <v>172</v>
      </c>
      <c r="F155" s="2">
        <v>2</v>
      </c>
      <c r="G155" s="4">
        <v>1699</v>
      </c>
      <c r="H155" s="4">
        <v>3398</v>
      </c>
      <c r="I155" s="2" t="s">
        <v>11</v>
      </c>
      <c r="J155" s="2" t="s">
        <v>12</v>
      </c>
    </row>
    <row r="156" spans="1:10" x14ac:dyDescent="0.35">
      <c r="A156" s="2">
        <v>10155</v>
      </c>
      <c r="B156" s="3" t="str">
        <f t="shared" si="5"/>
        <v>Junho</v>
      </c>
      <c r="C156" s="3">
        <v>45446</v>
      </c>
      <c r="D156" s="2" t="s">
        <v>23</v>
      </c>
      <c r="E156" s="2" t="s">
        <v>173</v>
      </c>
      <c r="F156" s="2">
        <v>1</v>
      </c>
      <c r="G156" s="4">
        <v>59</v>
      </c>
      <c r="H156" s="4">
        <v>59</v>
      </c>
      <c r="I156" s="2" t="s">
        <v>15</v>
      </c>
      <c r="J156" s="2" t="s">
        <v>16</v>
      </c>
    </row>
    <row r="157" spans="1:10" x14ac:dyDescent="0.35">
      <c r="A157" s="2">
        <v>10156</v>
      </c>
      <c r="B157" s="3" t="str">
        <f t="shared" si="5"/>
        <v>Junho</v>
      </c>
      <c r="C157" s="3">
        <v>45447</v>
      </c>
      <c r="D157" s="2" t="s">
        <v>25</v>
      </c>
      <c r="E157" s="2" t="s">
        <v>174</v>
      </c>
      <c r="F157" s="2">
        <v>1</v>
      </c>
      <c r="G157" s="4">
        <v>29999</v>
      </c>
      <c r="H157" s="4">
        <v>29999</v>
      </c>
      <c r="I157" s="2" t="s">
        <v>19</v>
      </c>
      <c r="J157" s="2" t="s">
        <v>12</v>
      </c>
    </row>
    <row r="158" spans="1:10" x14ac:dyDescent="0.35">
      <c r="A158" s="2">
        <v>10157</v>
      </c>
      <c r="B158" s="3" t="str">
        <f t="shared" si="5"/>
        <v>Junho</v>
      </c>
      <c r="C158" s="3">
        <v>45448</v>
      </c>
      <c r="D158" s="2" t="s">
        <v>9</v>
      </c>
      <c r="E158" s="2" t="s">
        <v>175</v>
      </c>
      <c r="F158" s="2">
        <v>1</v>
      </c>
      <c r="G158" s="4">
        <v>89999</v>
      </c>
      <c r="H158" s="4">
        <v>89999</v>
      </c>
      <c r="I158" s="2" t="s">
        <v>11</v>
      </c>
      <c r="J158" s="2" t="s">
        <v>12</v>
      </c>
    </row>
    <row r="159" spans="1:10" x14ac:dyDescent="0.35">
      <c r="A159" s="2">
        <v>10158</v>
      </c>
      <c r="B159" s="3" t="str">
        <f t="shared" si="5"/>
        <v>Junho</v>
      </c>
      <c r="C159" s="3">
        <v>45449</v>
      </c>
      <c r="D159" s="2" t="s">
        <v>13</v>
      </c>
      <c r="E159" s="2" t="s">
        <v>176</v>
      </c>
      <c r="F159" s="2">
        <v>1</v>
      </c>
      <c r="G159" s="4">
        <v>49995</v>
      </c>
      <c r="H159" s="4">
        <v>49995</v>
      </c>
      <c r="I159" s="2" t="s">
        <v>15</v>
      </c>
      <c r="J159" s="2" t="s">
        <v>16</v>
      </c>
    </row>
    <row r="160" spans="1:10" x14ac:dyDescent="0.35">
      <c r="A160" s="2">
        <v>10159</v>
      </c>
      <c r="B160" s="3" t="str">
        <f t="shared" si="5"/>
        <v>Junho</v>
      </c>
      <c r="C160" s="3">
        <v>45450</v>
      </c>
      <c r="D160" s="2" t="s">
        <v>17</v>
      </c>
      <c r="E160" s="2" t="s">
        <v>177</v>
      </c>
      <c r="F160" s="2">
        <v>4</v>
      </c>
      <c r="G160" s="4">
        <v>2499</v>
      </c>
      <c r="H160" s="4">
        <v>9996</v>
      </c>
      <c r="I160" s="2" t="s">
        <v>19</v>
      </c>
      <c r="J160" s="2" t="s">
        <v>20</v>
      </c>
    </row>
    <row r="161" spans="1:10" x14ac:dyDescent="0.35">
      <c r="A161" s="2">
        <v>10160</v>
      </c>
      <c r="B161" s="3" t="str">
        <f t="shared" si="5"/>
        <v>Junho</v>
      </c>
      <c r="C161" s="3">
        <v>45451</v>
      </c>
      <c r="D161" s="2" t="s">
        <v>21</v>
      </c>
      <c r="E161" s="2" t="s">
        <v>178</v>
      </c>
      <c r="F161" s="2">
        <v>3</v>
      </c>
      <c r="G161" s="4">
        <v>799</v>
      </c>
      <c r="H161" s="4">
        <v>2397</v>
      </c>
      <c r="I161" s="2" t="s">
        <v>11</v>
      </c>
      <c r="J161" s="2" t="s">
        <v>12</v>
      </c>
    </row>
    <row r="162" spans="1:10" x14ac:dyDescent="0.35">
      <c r="A162" s="2">
        <v>10161</v>
      </c>
      <c r="B162" s="3" t="str">
        <f t="shared" si="5"/>
        <v>Junho</v>
      </c>
      <c r="C162" s="3">
        <v>45452</v>
      </c>
      <c r="D162" s="2" t="s">
        <v>23</v>
      </c>
      <c r="E162" s="2" t="s">
        <v>179</v>
      </c>
      <c r="F162" s="2">
        <v>1</v>
      </c>
      <c r="G162" s="4">
        <v>36</v>
      </c>
      <c r="H162" s="4">
        <v>36</v>
      </c>
      <c r="I162" s="2" t="s">
        <v>15</v>
      </c>
      <c r="J162" s="2" t="s">
        <v>16</v>
      </c>
    </row>
    <row r="163" spans="1:10" x14ac:dyDescent="0.35">
      <c r="A163" s="2">
        <v>10162</v>
      </c>
      <c r="B163" s="3" t="str">
        <f t="shared" si="5"/>
        <v>Junho</v>
      </c>
      <c r="C163" s="3">
        <v>45453</v>
      </c>
      <c r="D163" s="2" t="s">
        <v>25</v>
      </c>
      <c r="E163" s="2" t="s">
        <v>180</v>
      </c>
      <c r="F163" s="2">
        <v>2</v>
      </c>
      <c r="G163" s="4">
        <v>3499</v>
      </c>
      <c r="H163" s="4">
        <v>6998</v>
      </c>
      <c r="I163" s="2" t="s">
        <v>19</v>
      </c>
      <c r="J163" s="2" t="s">
        <v>12</v>
      </c>
    </row>
    <row r="164" spans="1:10" x14ac:dyDescent="0.35">
      <c r="A164" s="2">
        <v>10163</v>
      </c>
      <c r="B164" s="3" t="str">
        <f t="shared" si="5"/>
        <v>Junho</v>
      </c>
      <c r="C164" s="3">
        <v>45454</v>
      </c>
      <c r="D164" s="2" t="s">
        <v>9</v>
      </c>
      <c r="E164" s="2" t="s">
        <v>181</v>
      </c>
      <c r="F164" s="2">
        <v>1</v>
      </c>
      <c r="G164" s="4">
        <v>119999</v>
      </c>
      <c r="H164" s="4">
        <v>119999</v>
      </c>
      <c r="I164" s="2" t="s">
        <v>11</v>
      </c>
      <c r="J164" s="2" t="s">
        <v>12</v>
      </c>
    </row>
    <row r="165" spans="1:10" x14ac:dyDescent="0.35">
      <c r="A165" s="2">
        <v>10164</v>
      </c>
      <c r="B165" s="3" t="str">
        <f t="shared" si="5"/>
        <v>Junho</v>
      </c>
      <c r="C165" s="3">
        <v>45455</v>
      </c>
      <c r="D165" s="2" t="s">
        <v>13</v>
      </c>
      <c r="E165" s="2" t="s">
        <v>182</v>
      </c>
      <c r="F165" s="2">
        <v>1</v>
      </c>
      <c r="G165" s="4">
        <v>19999</v>
      </c>
      <c r="H165" s="4">
        <v>19999</v>
      </c>
      <c r="I165" s="2" t="s">
        <v>15</v>
      </c>
      <c r="J165" s="2" t="s">
        <v>16</v>
      </c>
    </row>
    <row r="166" spans="1:10" x14ac:dyDescent="0.35">
      <c r="A166" s="2">
        <v>10165</v>
      </c>
      <c r="B166" s="3" t="str">
        <f t="shared" si="5"/>
        <v>Junho</v>
      </c>
      <c r="C166" s="3">
        <v>45456</v>
      </c>
      <c r="D166" s="2" t="s">
        <v>17</v>
      </c>
      <c r="E166" s="2" t="s">
        <v>183</v>
      </c>
      <c r="F166" s="2">
        <v>5</v>
      </c>
      <c r="G166" s="4">
        <v>2999</v>
      </c>
      <c r="H166" s="4">
        <v>14995</v>
      </c>
      <c r="I166" s="2" t="s">
        <v>19</v>
      </c>
      <c r="J166" s="2" t="s">
        <v>20</v>
      </c>
    </row>
    <row r="167" spans="1:10" x14ac:dyDescent="0.35">
      <c r="A167" s="2">
        <v>10166</v>
      </c>
      <c r="B167" s="3" t="str">
        <f t="shared" si="5"/>
        <v>Junho</v>
      </c>
      <c r="C167" s="3">
        <v>45457</v>
      </c>
      <c r="D167" s="2" t="s">
        <v>21</v>
      </c>
      <c r="E167" s="2" t="s">
        <v>184</v>
      </c>
      <c r="F167" s="2">
        <v>4</v>
      </c>
      <c r="G167" s="4">
        <v>899</v>
      </c>
      <c r="H167" s="4">
        <v>3596</v>
      </c>
      <c r="I167" s="2" t="s">
        <v>11</v>
      </c>
      <c r="J167" s="2" t="s">
        <v>12</v>
      </c>
    </row>
    <row r="168" spans="1:10" x14ac:dyDescent="0.35">
      <c r="A168" s="2">
        <v>10167</v>
      </c>
      <c r="B168" s="3" t="str">
        <f t="shared" si="5"/>
        <v>Junho</v>
      </c>
      <c r="C168" s="3">
        <v>45458</v>
      </c>
      <c r="D168" s="2" t="s">
        <v>23</v>
      </c>
      <c r="E168" s="2" t="s">
        <v>185</v>
      </c>
      <c r="F168" s="2">
        <v>1</v>
      </c>
      <c r="G168" s="4">
        <v>1699</v>
      </c>
      <c r="H168" s="4">
        <v>1699</v>
      </c>
      <c r="I168" s="2" t="s">
        <v>15</v>
      </c>
      <c r="J168" s="2" t="s">
        <v>16</v>
      </c>
    </row>
    <row r="169" spans="1:10" x14ac:dyDescent="0.35">
      <c r="A169" s="2">
        <v>10168</v>
      </c>
      <c r="B169" s="3" t="str">
        <f t="shared" si="5"/>
        <v>Junho</v>
      </c>
      <c r="C169" s="3">
        <v>45459</v>
      </c>
      <c r="D169" s="2" t="s">
        <v>25</v>
      </c>
      <c r="E169" s="2" t="s">
        <v>186</v>
      </c>
      <c r="F169" s="2">
        <v>3</v>
      </c>
      <c r="G169" s="4">
        <v>4999</v>
      </c>
      <c r="H169" s="4">
        <v>14997</v>
      </c>
      <c r="I169" s="2" t="s">
        <v>19</v>
      </c>
      <c r="J169" s="2" t="s">
        <v>12</v>
      </c>
    </row>
    <row r="170" spans="1:10" x14ac:dyDescent="0.35">
      <c r="A170" s="2">
        <v>10169</v>
      </c>
      <c r="B170" s="3" t="str">
        <f t="shared" si="5"/>
        <v>Junho</v>
      </c>
      <c r="C170" s="3">
        <v>45460</v>
      </c>
      <c r="D170" s="2" t="s">
        <v>9</v>
      </c>
      <c r="E170" s="2" t="s">
        <v>187</v>
      </c>
      <c r="F170" s="2">
        <v>1</v>
      </c>
      <c r="G170" s="4">
        <v>69999</v>
      </c>
      <c r="H170" s="4">
        <v>69999</v>
      </c>
      <c r="I170" s="2" t="s">
        <v>11</v>
      </c>
      <c r="J170" s="2" t="s">
        <v>12</v>
      </c>
    </row>
    <row r="171" spans="1:10" x14ac:dyDescent="0.35">
      <c r="A171" s="2">
        <v>10170</v>
      </c>
      <c r="B171" s="3" t="str">
        <f t="shared" si="5"/>
        <v>Junho</v>
      </c>
      <c r="C171" s="3">
        <v>45461</v>
      </c>
      <c r="D171" s="2" t="s">
        <v>13</v>
      </c>
      <c r="E171" s="2" t="s">
        <v>188</v>
      </c>
      <c r="F171" s="2">
        <v>2</v>
      </c>
      <c r="G171" s="4">
        <v>13999</v>
      </c>
      <c r="H171" s="4">
        <v>27998</v>
      </c>
      <c r="I171" s="2" t="s">
        <v>15</v>
      </c>
      <c r="J171" s="2" t="s">
        <v>16</v>
      </c>
    </row>
    <row r="172" spans="1:10" x14ac:dyDescent="0.35">
      <c r="A172" s="2">
        <v>10171</v>
      </c>
      <c r="B172" s="3" t="str">
        <f t="shared" si="5"/>
        <v>Junho</v>
      </c>
      <c r="C172" s="3">
        <v>45462</v>
      </c>
      <c r="D172" s="2" t="s">
        <v>17</v>
      </c>
      <c r="E172" s="2" t="s">
        <v>189</v>
      </c>
      <c r="F172" s="2">
        <v>3</v>
      </c>
      <c r="G172" s="4">
        <v>3499</v>
      </c>
      <c r="H172" s="4">
        <v>10497</v>
      </c>
      <c r="I172" s="2" t="s">
        <v>19</v>
      </c>
      <c r="J172" s="2" t="s">
        <v>20</v>
      </c>
    </row>
    <row r="173" spans="1:10" x14ac:dyDescent="0.35">
      <c r="A173" s="2">
        <v>10172</v>
      </c>
      <c r="B173" s="3" t="str">
        <f t="shared" si="5"/>
        <v>Junho</v>
      </c>
      <c r="C173" s="3">
        <v>45463</v>
      </c>
      <c r="D173" s="2" t="s">
        <v>21</v>
      </c>
      <c r="E173" s="2" t="s">
        <v>190</v>
      </c>
      <c r="F173" s="2">
        <v>2</v>
      </c>
      <c r="G173" s="4">
        <v>999</v>
      </c>
      <c r="H173" s="4">
        <v>1998</v>
      </c>
      <c r="I173" s="2" t="s">
        <v>11</v>
      </c>
      <c r="J173" s="2" t="s">
        <v>12</v>
      </c>
    </row>
    <row r="174" spans="1:10" x14ac:dyDescent="0.35">
      <c r="A174" s="2">
        <v>10173</v>
      </c>
      <c r="B174" s="3" t="str">
        <f t="shared" si="5"/>
        <v>Junho</v>
      </c>
      <c r="C174" s="3">
        <v>45464</v>
      </c>
      <c r="D174" s="2" t="s">
        <v>23</v>
      </c>
      <c r="E174" s="2" t="s">
        <v>191</v>
      </c>
      <c r="F174" s="2">
        <v>1</v>
      </c>
      <c r="G174" s="4">
        <v>295</v>
      </c>
      <c r="H174" s="4">
        <v>295</v>
      </c>
      <c r="I174" s="2" t="s">
        <v>15</v>
      </c>
      <c r="J174" s="2" t="s">
        <v>16</v>
      </c>
    </row>
    <row r="175" spans="1:10" x14ac:dyDescent="0.35">
      <c r="A175" s="2">
        <v>10174</v>
      </c>
      <c r="B175" s="3" t="str">
        <f t="shared" si="5"/>
        <v>Junho</v>
      </c>
      <c r="C175" s="3">
        <v>45465</v>
      </c>
      <c r="D175" s="2" t="s">
        <v>25</v>
      </c>
      <c r="E175" s="2" t="s">
        <v>192</v>
      </c>
      <c r="F175" s="2">
        <v>1</v>
      </c>
      <c r="G175" s="4">
        <v>69999</v>
      </c>
      <c r="H175" s="4">
        <v>69999</v>
      </c>
      <c r="I175" s="2" t="s">
        <v>19</v>
      </c>
      <c r="J175" s="2" t="s">
        <v>12</v>
      </c>
    </row>
    <row r="176" spans="1:10" x14ac:dyDescent="0.35">
      <c r="A176" s="2">
        <v>10175</v>
      </c>
      <c r="B176" s="3" t="str">
        <f t="shared" si="5"/>
        <v>Junho</v>
      </c>
      <c r="C176" s="3">
        <v>45466</v>
      </c>
      <c r="D176" s="2" t="s">
        <v>9</v>
      </c>
      <c r="E176" s="2" t="s">
        <v>193</v>
      </c>
      <c r="F176" s="2">
        <v>3</v>
      </c>
      <c r="G176" s="4">
        <v>4999</v>
      </c>
      <c r="H176" s="4">
        <v>14997</v>
      </c>
      <c r="I176" s="2" t="s">
        <v>11</v>
      </c>
      <c r="J176" s="2" t="s">
        <v>12</v>
      </c>
    </row>
    <row r="177" spans="1:10" x14ac:dyDescent="0.35">
      <c r="A177" s="2">
        <v>10176</v>
      </c>
      <c r="B177" s="3" t="str">
        <f t="shared" si="5"/>
        <v>Junho</v>
      </c>
      <c r="C177" s="3">
        <v>45467</v>
      </c>
      <c r="D177" s="2" t="s">
        <v>13</v>
      </c>
      <c r="E177" s="2" t="s">
        <v>194</v>
      </c>
      <c r="F177" s="2">
        <v>2</v>
      </c>
      <c r="G177" s="4">
        <v>4999</v>
      </c>
      <c r="H177" s="4">
        <v>9998</v>
      </c>
      <c r="I177" s="2" t="s">
        <v>15</v>
      </c>
      <c r="J177" s="2" t="s">
        <v>16</v>
      </c>
    </row>
    <row r="178" spans="1:10" x14ac:dyDescent="0.35">
      <c r="A178" s="2">
        <v>10177</v>
      </c>
      <c r="B178" s="3" t="str">
        <f t="shared" si="5"/>
        <v>Junho</v>
      </c>
      <c r="C178" s="3">
        <v>45468</v>
      </c>
      <c r="D178" s="2" t="s">
        <v>17</v>
      </c>
      <c r="E178" s="2" t="s">
        <v>195</v>
      </c>
      <c r="F178" s="2">
        <v>4</v>
      </c>
      <c r="G178" s="4">
        <v>149</v>
      </c>
      <c r="H178" s="4">
        <v>596</v>
      </c>
      <c r="I178" s="2" t="s">
        <v>19</v>
      </c>
      <c r="J178" s="2" t="s">
        <v>20</v>
      </c>
    </row>
    <row r="179" spans="1:10" x14ac:dyDescent="0.35">
      <c r="A179" s="2">
        <v>10178</v>
      </c>
      <c r="B179" s="3" t="str">
        <f t="shared" si="5"/>
        <v>Junho</v>
      </c>
      <c r="C179" s="3">
        <v>45469</v>
      </c>
      <c r="D179" s="2" t="s">
        <v>21</v>
      </c>
      <c r="E179" s="2" t="s">
        <v>196</v>
      </c>
      <c r="F179" s="2">
        <v>3</v>
      </c>
      <c r="G179" s="4">
        <v>1199</v>
      </c>
      <c r="H179" s="4">
        <v>3597</v>
      </c>
      <c r="I179" s="2" t="s">
        <v>11</v>
      </c>
      <c r="J179" s="2" t="s">
        <v>12</v>
      </c>
    </row>
    <row r="180" spans="1:10" x14ac:dyDescent="0.35">
      <c r="A180" s="2">
        <v>10179</v>
      </c>
      <c r="B180" s="3" t="str">
        <f t="shared" si="5"/>
        <v>Junho</v>
      </c>
      <c r="C180" s="3">
        <v>45470</v>
      </c>
      <c r="D180" s="2" t="s">
        <v>23</v>
      </c>
      <c r="E180" s="2" t="s">
        <v>197</v>
      </c>
      <c r="F180" s="2">
        <v>2</v>
      </c>
      <c r="G180" s="4">
        <v>34</v>
      </c>
      <c r="H180" s="4">
        <v>68</v>
      </c>
      <c r="I180" s="2" t="s">
        <v>15</v>
      </c>
      <c r="J180" s="2" t="s">
        <v>16</v>
      </c>
    </row>
    <row r="181" spans="1:10" x14ac:dyDescent="0.35">
      <c r="A181" s="2">
        <v>10180</v>
      </c>
      <c r="B181" s="3" t="str">
        <f t="shared" si="5"/>
        <v>Junho</v>
      </c>
      <c r="C181" s="3">
        <v>45471</v>
      </c>
      <c r="D181" s="2" t="s">
        <v>25</v>
      </c>
      <c r="E181" s="2" t="s">
        <v>198</v>
      </c>
      <c r="F181" s="2">
        <v>1</v>
      </c>
      <c r="G181" s="4">
        <v>146</v>
      </c>
      <c r="H181" s="4">
        <v>146</v>
      </c>
      <c r="I181" s="2" t="s">
        <v>19</v>
      </c>
      <c r="J181" s="2" t="s">
        <v>12</v>
      </c>
    </row>
    <row r="182" spans="1:10" x14ac:dyDescent="0.35">
      <c r="A182" s="2">
        <v>10181</v>
      </c>
      <c r="B182" s="3" t="str">
        <f t="shared" si="5"/>
        <v>Junho</v>
      </c>
      <c r="C182" s="3">
        <v>45472</v>
      </c>
      <c r="D182" s="2" t="s">
        <v>9</v>
      </c>
      <c r="E182" s="2" t="s">
        <v>199</v>
      </c>
      <c r="F182" s="2">
        <v>1</v>
      </c>
      <c r="G182" s="4">
        <v>64999</v>
      </c>
      <c r="H182" s="4">
        <v>64999</v>
      </c>
      <c r="I182" s="2" t="s">
        <v>11</v>
      </c>
      <c r="J182" s="2" t="s">
        <v>12</v>
      </c>
    </row>
    <row r="183" spans="1:10" x14ac:dyDescent="0.35">
      <c r="A183" s="2">
        <v>10182</v>
      </c>
      <c r="B183" s="3" t="str">
        <f t="shared" si="5"/>
        <v>Junho</v>
      </c>
      <c r="C183" s="3">
        <v>45473</v>
      </c>
      <c r="D183" s="2" t="s">
        <v>13</v>
      </c>
      <c r="E183" s="2" t="s">
        <v>200</v>
      </c>
      <c r="F183" s="2">
        <v>1</v>
      </c>
      <c r="G183" s="4">
        <v>39999</v>
      </c>
      <c r="H183" s="4">
        <v>39999</v>
      </c>
      <c r="I183" s="2" t="s">
        <v>15</v>
      </c>
      <c r="J183" s="2" t="s">
        <v>16</v>
      </c>
    </row>
    <row r="184" spans="1:10" x14ac:dyDescent="0.35">
      <c r="A184" s="2">
        <v>10183</v>
      </c>
      <c r="B184" s="3" t="str">
        <f t="shared" si="5"/>
        <v>Julho</v>
      </c>
      <c r="C184" s="3">
        <v>45474</v>
      </c>
      <c r="D184" s="2" t="s">
        <v>17</v>
      </c>
      <c r="E184" s="2" t="s">
        <v>201</v>
      </c>
      <c r="F184" s="2">
        <v>3</v>
      </c>
      <c r="G184" s="4">
        <v>5999</v>
      </c>
      <c r="H184" s="4">
        <v>17997</v>
      </c>
      <c r="I184" s="2" t="s">
        <v>19</v>
      </c>
      <c r="J184" s="2" t="s">
        <v>20</v>
      </c>
    </row>
    <row r="185" spans="1:10" x14ac:dyDescent="0.35">
      <c r="A185" s="2">
        <v>10184</v>
      </c>
      <c r="B185" s="3" t="str">
        <f t="shared" si="5"/>
        <v>Julho</v>
      </c>
      <c r="C185" s="3">
        <v>45475</v>
      </c>
      <c r="D185" s="2" t="s">
        <v>21</v>
      </c>
      <c r="E185" s="2" t="s">
        <v>202</v>
      </c>
      <c r="F185" s="2">
        <v>2</v>
      </c>
      <c r="G185" s="4">
        <v>1299</v>
      </c>
      <c r="H185" s="4">
        <v>2598</v>
      </c>
      <c r="I185" s="2" t="s">
        <v>11</v>
      </c>
      <c r="J185" s="2" t="s">
        <v>12</v>
      </c>
    </row>
    <row r="186" spans="1:10" x14ac:dyDescent="0.35">
      <c r="A186" s="2">
        <v>10185</v>
      </c>
      <c r="B186" s="3" t="str">
        <f t="shared" si="5"/>
        <v>Julho</v>
      </c>
      <c r="C186" s="3">
        <v>45476</v>
      </c>
      <c r="D186" s="2" t="s">
        <v>23</v>
      </c>
      <c r="E186" s="2" t="s">
        <v>203</v>
      </c>
      <c r="F186" s="2">
        <v>1</v>
      </c>
      <c r="G186" s="4">
        <v>190</v>
      </c>
      <c r="H186" s="4">
        <v>190</v>
      </c>
      <c r="I186" s="2" t="s">
        <v>15</v>
      </c>
      <c r="J186" s="2" t="s">
        <v>16</v>
      </c>
    </row>
    <row r="187" spans="1:10" x14ac:dyDescent="0.35">
      <c r="A187" s="2">
        <v>10186</v>
      </c>
      <c r="B187" s="3" t="str">
        <f t="shared" si="5"/>
        <v>Julho</v>
      </c>
      <c r="C187" s="3">
        <v>45477</v>
      </c>
      <c r="D187" s="2" t="s">
        <v>25</v>
      </c>
      <c r="E187" s="2" t="s">
        <v>204</v>
      </c>
      <c r="F187" s="2">
        <v>1</v>
      </c>
      <c r="G187" s="4">
        <v>49995</v>
      </c>
      <c r="H187" s="4">
        <v>49995</v>
      </c>
      <c r="I187" s="2" t="s">
        <v>19</v>
      </c>
      <c r="J187" s="2" t="s">
        <v>12</v>
      </c>
    </row>
    <row r="188" spans="1:10" x14ac:dyDescent="0.35">
      <c r="A188" s="2">
        <v>10187</v>
      </c>
      <c r="B188" s="3" t="str">
        <f t="shared" si="5"/>
        <v>Julho</v>
      </c>
      <c r="C188" s="3">
        <v>45478</v>
      </c>
      <c r="D188" s="2" t="s">
        <v>9</v>
      </c>
      <c r="E188" s="2" t="s">
        <v>205</v>
      </c>
      <c r="F188" s="2">
        <v>1</v>
      </c>
      <c r="G188" s="4">
        <v>399</v>
      </c>
      <c r="H188" s="4">
        <v>399</v>
      </c>
      <c r="I188" s="2" t="s">
        <v>11</v>
      </c>
      <c r="J188" s="2" t="s">
        <v>12</v>
      </c>
    </row>
    <row r="189" spans="1:10" x14ac:dyDescent="0.35">
      <c r="A189" s="2">
        <v>10188</v>
      </c>
      <c r="B189" s="3" t="str">
        <f t="shared" si="5"/>
        <v>Julho</v>
      </c>
      <c r="C189" s="3">
        <v>45479</v>
      </c>
      <c r="D189" s="2" t="s">
        <v>13</v>
      </c>
      <c r="E189" s="2" t="s">
        <v>206</v>
      </c>
      <c r="F189" s="2">
        <v>2</v>
      </c>
      <c r="G189" s="4">
        <v>199</v>
      </c>
      <c r="H189" s="4">
        <v>398</v>
      </c>
      <c r="I189" s="2" t="s">
        <v>15</v>
      </c>
      <c r="J189" s="2" t="s">
        <v>16</v>
      </c>
    </row>
    <row r="190" spans="1:10" x14ac:dyDescent="0.35">
      <c r="A190" s="2">
        <v>10189</v>
      </c>
      <c r="B190" s="3" t="str">
        <f t="shared" si="5"/>
        <v>Julho</v>
      </c>
      <c r="C190" s="3">
        <v>45480</v>
      </c>
      <c r="D190" s="2" t="s">
        <v>17</v>
      </c>
      <c r="E190" s="2" t="s">
        <v>207</v>
      </c>
      <c r="F190" s="2">
        <v>4</v>
      </c>
      <c r="G190" s="4">
        <v>3499</v>
      </c>
      <c r="H190" s="4">
        <v>13996</v>
      </c>
      <c r="I190" s="2" t="s">
        <v>19</v>
      </c>
      <c r="J190" s="2" t="s">
        <v>20</v>
      </c>
    </row>
    <row r="191" spans="1:10" x14ac:dyDescent="0.35">
      <c r="A191" s="2">
        <v>10190</v>
      </c>
      <c r="B191" s="3" t="str">
        <f t="shared" si="5"/>
        <v>Julho</v>
      </c>
      <c r="C191" s="3">
        <v>45481</v>
      </c>
      <c r="D191" s="2" t="s">
        <v>21</v>
      </c>
      <c r="E191" s="2" t="s">
        <v>108</v>
      </c>
      <c r="F191" s="2">
        <v>3</v>
      </c>
      <c r="G191" s="4">
        <v>1099</v>
      </c>
      <c r="H191" s="4">
        <v>3297</v>
      </c>
      <c r="I191" s="2" t="s">
        <v>11</v>
      </c>
      <c r="J191" s="2" t="s">
        <v>12</v>
      </c>
    </row>
    <row r="192" spans="1:10" x14ac:dyDescent="0.35">
      <c r="A192" s="2">
        <v>10191</v>
      </c>
      <c r="B192" s="3" t="str">
        <f t="shared" si="5"/>
        <v>Julho</v>
      </c>
      <c r="C192" s="3">
        <v>45482</v>
      </c>
      <c r="D192" s="2" t="s">
        <v>23</v>
      </c>
      <c r="E192" s="2" t="s">
        <v>208</v>
      </c>
      <c r="F192" s="2">
        <v>1</v>
      </c>
      <c r="G192" s="4">
        <v>18</v>
      </c>
      <c r="H192" s="4">
        <v>18</v>
      </c>
      <c r="I192" s="2" t="s">
        <v>15</v>
      </c>
      <c r="J192" s="2" t="s">
        <v>16</v>
      </c>
    </row>
    <row r="193" spans="1:10" x14ac:dyDescent="0.35">
      <c r="A193" s="2">
        <v>10192</v>
      </c>
      <c r="B193" s="3" t="str">
        <f t="shared" si="5"/>
        <v>Julho</v>
      </c>
      <c r="C193" s="3">
        <v>45483</v>
      </c>
      <c r="D193" s="2" t="s">
        <v>25</v>
      </c>
      <c r="E193" s="2" t="s">
        <v>209</v>
      </c>
      <c r="F193" s="2">
        <v>1</v>
      </c>
      <c r="G193" s="4">
        <v>16995</v>
      </c>
      <c r="H193" s="4">
        <v>16995</v>
      </c>
      <c r="I193" s="2" t="s">
        <v>19</v>
      </c>
      <c r="J193" s="2" t="s">
        <v>12</v>
      </c>
    </row>
    <row r="194" spans="1:10" x14ac:dyDescent="0.35">
      <c r="A194" s="2">
        <v>10193</v>
      </c>
      <c r="B194" s="3" t="str">
        <f t="shared" ref="B194:B241" si="6">PROPER(TEXT(C194,"MMMM"))</f>
        <v>Julho</v>
      </c>
      <c r="C194" s="3">
        <v>45484</v>
      </c>
      <c r="D194" s="2" t="s">
        <v>9</v>
      </c>
      <c r="E194" s="2" t="s">
        <v>210</v>
      </c>
      <c r="F194" s="2">
        <v>1</v>
      </c>
      <c r="G194" s="4">
        <v>19999</v>
      </c>
      <c r="H194" s="4">
        <v>19999</v>
      </c>
      <c r="I194" s="2" t="s">
        <v>11</v>
      </c>
      <c r="J194" s="2" t="s">
        <v>12</v>
      </c>
    </row>
    <row r="195" spans="1:10" x14ac:dyDescent="0.35">
      <c r="A195" s="2">
        <v>10194</v>
      </c>
      <c r="B195" s="3" t="str">
        <f t="shared" si="6"/>
        <v>Julho</v>
      </c>
      <c r="C195" s="3">
        <v>45485</v>
      </c>
      <c r="D195" s="2" t="s">
        <v>13</v>
      </c>
      <c r="E195" s="2" t="s">
        <v>211</v>
      </c>
      <c r="F195" s="2">
        <v>1</v>
      </c>
      <c r="G195" s="4">
        <v>19995</v>
      </c>
      <c r="H195" s="4">
        <v>19995</v>
      </c>
      <c r="I195" s="2" t="s">
        <v>15</v>
      </c>
      <c r="J195" s="2" t="s">
        <v>16</v>
      </c>
    </row>
    <row r="196" spans="1:10" x14ac:dyDescent="0.35">
      <c r="A196" s="2">
        <v>10195</v>
      </c>
      <c r="B196" s="3" t="str">
        <f t="shared" si="6"/>
        <v>Julho</v>
      </c>
      <c r="C196" s="3">
        <v>45486</v>
      </c>
      <c r="D196" s="2" t="s">
        <v>17</v>
      </c>
      <c r="E196" s="2" t="s">
        <v>212</v>
      </c>
      <c r="F196" s="2">
        <v>2</v>
      </c>
      <c r="G196" s="4">
        <v>17999</v>
      </c>
      <c r="H196" s="4">
        <v>35998</v>
      </c>
      <c r="I196" s="2" t="s">
        <v>19</v>
      </c>
      <c r="J196" s="2" t="s">
        <v>20</v>
      </c>
    </row>
    <row r="197" spans="1:10" x14ac:dyDescent="0.35">
      <c r="A197" s="2">
        <v>10196</v>
      </c>
      <c r="B197" s="3" t="str">
        <f t="shared" si="6"/>
        <v>Julho</v>
      </c>
      <c r="C197" s="3">
        <v>45487</v>
      </c>
      <c r="D197" s="2" t="s">
        <v>21</v>
      </c>
      <c r="E197" s="2" t="s">
        <v>213</v>
      </c>
      <c r="F197" s="2">
        <v>2</v>
      </c>
      <c r="G197" s="4">
        <v>1199</v>
      </c>
      <c r="H197" s="4">
        <v>2398</v>
      </c>
      <c r="I197" s="2" t="s">
        <v>11</v>
      </c>
      <c r="J197" s="2" t="s">
        <v>12</v>
      </c>
    </row>
    <row r="198" spans="1:10" x14ac:dyDescent="0.35">
      <c r="A198" s="2">
        <v>10197</v>
      </c>
      <c r="B198" s="3" t="str">
        <f t="shared" si="6"/>
        <v>Julho</v>
      </c>
      <c r="C198" s="3">
        <v>45488</v>
      </c>
      <c r="D198" s="2" t="s">
        <v>23</v>
      </c>
      <c r="E198" s="2" t="s">
        <v>214</v>
      </c>
      <c r="F198" s="2">
        <v>1</v>
      </c>
      <c r="G198" s="4">
        <v>125</v>
      </c>
      <c r="H198" s="4">
        <v>125</v>
      </c>
      <c r="I198" s="2" t="s">
        <v>15</v>
      </c>
      <c r="J198" s="2" t="s">
        <v>16</v>
      </c>
    </row>
    <row r="199" spans="1:10" x14ac:dyDescent="0.35">
      <c r="A199" s="2">
        <v>10198</v>
      </c>
      <c r="B199" s="3" t="str">
        <f t="shared" si="6"/>
        <v>Julho</v>
      </c>
      <c r="C199" s="3">
        <v>45489</v>
      </c>
      <c r="D199" s="2" t="s">
        <v>25</v>
      </c>
      <c r="E199" s="2" t="s">
        <v>215</v>
      </c>
      <c r="F199" s="2">
        <v>1</v>
      </c>
      <c r="G199" s="4">
        <v>44999</v>
      </c>
      <c r="H199" s="4">
        <v>44999</v>
      </c>
      <c r="I199" s="2" t="s">
        <v>19</v>
      </c>
      <c r="J199" s="2" t="s">
        <v>12</v>
      </c>
    </row>
    <row r="200" spans="1:10" x14ac:dyDescent="0.35">
      <c r="A200" s="2">
        <v>10199</v>
      </c>
      <c r="B200" s="3" t="str">
        <f t="shared" si="6"/>
        <v>Julho</v>
      </c>
      <c r="C200" s="3">
        <v>45490</v>
      </c>
      <c r="D200" s="2" t="s">
        <v>9</v>
      </c>
      <c r="E200" s="2" t="s">
        <v>216</v>
      </c>
      <c r="F200" s="2">
        <v>2</v>
      </c>
      <c r="G200" s="4">
        <v>179</v>
      </c>
      <c r="H200" s="4">
        <v>358</v>
      </c>
      <c r="I200" s="2" t="s">
        <v>11</v>
      </c>
      <c r="J200" s="2" t="s">
        <v>12</v>
      </c>
    </row>
    <row r="201" spans="1:10" x14ac:dyDescent="0.35">
      <c r="A201" s="2">
        <v>10200</v>
      </c>
      <c r="B201" s="3" t="str">
        <f t="shared" si="6"/>
        <v>Julho</v>
      </c>
      <c r="C201" s="3">
        <v>45491</v>
      </c>
      <c r="D201" s="2" t="s">
        <v>13</v>
      </c>
      <c r="E201" s="2" t="s">
        <v>217</v>
      </c>
      <c r="F201" s="2">
        <v>1</v>
      </c>
      <c r="G201" s="4">
        <v>9995</v>
      </c>
      <c r="H201" s="4">
        <v>9995</v>
      </c>
      <c r="I201" s="2" t="s">
        <v>15</v>
      </c>
      <c r="J201" s="2" t="s">
        <v>16</v>
      </c>
    </row>
    <row r="202" spans="1:10" x14ac:dyDescent="0.35">
      <c r="A202" s="2">
        <v>10201</v>
      </c>
      <c r="B202" s="3" t="str">
        <f t="shared" si="6"/>
        <v>Julho</v>
      </c>
      <c r="C202" s="3">
        <v>45492</v>
      </c>
      <c r="D202" s="2" t="s">
        <v>17</v>
      </c>
      <c r="E202" s="2" t="s">
        <v>218</v>
      </c>
      <c r="F202" s="2">
        <v>3</v>
      </c>
      <c r="G202" s="4">
        <v>5999</v>
      </c>
      <c r="H202" s="4">
        <v>17997</v>
      </c>
      <c r="I202" s="2" t="s">
        <v>19</v>
      </c>
      <c r="J202" s="2" t="s">
        <v>20</v>
      </c>
    </row>
    <row r="203" spans="1:10" x14ac:dyDescent="0.35">
      <c r="A203" s="2">
        <v>10202</v>
      </c>
      <c r="B203" s="3" t="str">
        <f t="shared" si="6"/>
        <v>Julho</v>
      </c>
      <c r="C203" s="3">
        <v>45493</v>
      </c>
      <c r="D203" s="2" t="s">
        <v>21</v>
      </c>
      <c r="E203" s="2" t="s">
        <v>219</v>
      </c>
      <c r="F203" s="2">
        <v>2</v>
      </c>
      <c r="G203" s="4">
        <v>1499</v>
      </c>
      <c r="H203" s="4">
        <v>2998</v>
      </c>
      <c r="I203" s="2" t="s">
        <v>11</v>
      </c>
      <c r="J203" s="2" t="s">
        <v>12</v>
      </c>
    </row>
    <row r="204" spans="1:10" x14ac:dyDescent="0.35">
      <c r="A204" s="2">
        <v>10203</v>
      </c>
      <c r="B204" s="3" t="str">
        <f t="shared" si="6"/>
        <v>Julho</v>
      </c>
      <c r="C204" s="3">
        <v>45494</v>
      </c>
      <c r="D204" s="2" t="s">
        <v>23</v>
      </c>
      <c r="E204" s="2" t="s">
        <v>220</v>
      </c>
      <c r="F204" s="2">
        <v>1</v>
      </c>
      <c r="G204" s="4">
        <v>52</v>
      </c>
      <c r="H204" s="4">
        <v>52</v>
      </c>
      <c r="I204" s="2" t="s">
        <v>15</v>
      </c>
      <c r="J204" s="2" t="s">
        <v>16</v>
      </c>
    </row>
    <row r="205" spans="1:10" x14ac:dyDescent="0.35">
      <c r="A205" s="2">
        <v>10204</v>
      </c>
      <c r="B205" s="3" t="str">
        <f t="shared" si="6"/>
        <v>Julho</v>
      </c>
      <c r="C205" s="3">
        <v>45495</v>
      </c>
      <c r="D205" s="2" t="s">
        <v>25</v>
      </c>
      <c r="E205" s="2" t="s">
        <v>221</v>
      </c>
      <c r="F205" s="2">
        <v>1</v>
      </c>
      <c r="G205" s="4">
        <v>39999</v>
      </c>
      <c r="H205" s="4">
        <v>39999</v>
      </c>
      <c r="I205" s="2" t="s">
        <v>19</v>
      </c>
      <c r="J205" s="2" t="s">
        <v>12</v>
      </c>
    </row>
    <row r="206" spans="1:10" x14ac:dyDescent="0.35">
      <c r="A206" s="2">
        <v>10205</v>
      </c>
      <c r="B206" s="3" t="str">
        <f t="shared" si="6"/>
        <v>Julho</v>
      </c>
      <c r="C206" s="3">
        <v>45496</v>
      </c>
      <c r="D206" s="2" t="s">
        <v>9</v>
      </c>
      <c r="E206" s="2" t="s">
        <v>222</v>
      </c>
      <c r="F206" s="2">
        <v>1</v>
      </c>
      <c r="G206" s="4">
        <v>29999</v>
      </c>
      <c r="H206" s="4">
        <v>29999</v>
      </c>
      <c r="I206" s="2" t="s">
        <v>11</v>
      </c>
      <c r="J206" s="2" t="s">
        <v>12</v>
      </c>
    </row>
    <row r="207" spans="1:10" x14ac:dyDescent="0.35">
      <c r="A207" s="2">
        <v>10206</v>
      </c>
      <c r="B207" s="3" t="str">
        <f t="shared" si="6"/>
        <v>Julho</v>
      </c>
      <c r="C207" s="3">
        <v>45497</v>
      </c>
      <c r="D207" s="2" t="s">
        <v>13</v>
      </c>
      <c r="E207" s="2" t="s">
        <v>223</v>
      </c>
      <c r="F207" s="2">
        <v>1</v>
      </c>
      <c r="G207" s="4">
        <v>37999</v>
      </c>
      <c r="H207" s="4">
        <v>37999</v>
      </c>
      <c r="I207" s="2" t="s">
        <v>15</v>
      </c>
      <c r="J207" s="2" t="s">
        <v>16</v>
      </c>
    </row>
    <row r="208" spans="1:10" x14ac:dyDescent="0.35">
      <c r="A208" s="2">
        <v>10207</v>
      </c>
      <c r="B208" s="3" t="str">
        <f t="shared" si="6"/>
        <v>Julho</v>
      </c>
      <c r="C208" s="3">
        <v>45498</v>
      </c>
      <c r="D208" s="2" t="s">
        <v>17</v>
      </c>
      <c r="E208" s="2" t="s">
        <v>224</v>
      </c>
      <c r="F208" s="2">
        <v>2</v>
      </c>
      <c r="G208" s="4">
        <v>98</v>
      </c>
      <c r="H208" s="4">
        <v>196</v>
      </c>
      <c r="I208" s="2" t="s">
        <v>19</v>
      </c>
      <c r="J208" s="2" t="s">
        <v>20</v>
      </c>
    </row>
    <row r="209" spans="1:10" x14ac:dyDescent="0.35">
      <c r="A209" s="2">
        <v>10208</v>
      </c>
      <c r="B209" s="3" t="str">
        <f t="shared" si="6"/>
        <v>Julho</v>
      </c>
      <c r="C209" s="3">
        <v>45499</v>
      </c>
      <c r="D209" s="2" t="s">
        <v>21</v>
      </c>
      <c r="E209" s="2" t="s">
        <v>225</v>
      </c>
      <c r="F209" s="2">
        <v>3</v>
      </c>
      <c r="G209" s="4">
        <v>1699</v>
      </c>
      <c r="H209" s="4">
        <v>5097</v>
      </c>
      <c r="I209" s="2" t="s">
        <v>11</v>
      </c>
      <c r="J209" s="2" t="s">
        <v>12</v>
      </c>
    </row>
    <row r="210" spans="1:10" x14ac:dyDescent="0.35">
      <c r="A210" s="2">
        <v>10209</v>
      </c>
      <c r="B210" s="3" t="str">
        <f t="shared" si="6"/>
        <v>Julho</v>
      </c>
      <c r="C210" s="3">
        <v>45500</v>
      </c>
      <c r="D210" s="2" t="s">
        <v>23</v>
      </c>
      <c r="E210" s="2" t="s">
        <v>226</v>
      </c>
      <c r="F210" s="2">
        <v>1</v>
      </c>
      <c r="G210" s="4">
        <v>79</v>
      </c>
      <c r="H210" s="4">
        <v>79</v>
      </c>
      <c r="I210" s="2" t="s">
        <v>15</v>
      </c>
      <c r="J210" s="2" t="s">
        <v>16</v>
      </c>
    </row>
    <row r="211" spans="1:10" x14ac:dyDescent="0.35">
      <c r="A211" s="2">
        <v>10210</v>
      </c>
      <c r="B211" s="3" t="str">
        <f t="shared" si="6"/>
        <v>Julho</v>
      </c>
      <c r="C211" s="3">
        <v>45501</v>
      </c>
      <c r="D211" s="2" t="s">
        <v>25</v>
      </c>
      <c r="E211" s="2" t="s">
        <v>227</v>
      </c>
      <c r="F211" s="2">
        <v>1</v>
      </c>
      <c r="G211" s="4">
        <v>129</v>
      </c>
      <c r="H211" s="4">
        <v>129</v>
      </c>
      <c r="I211" s="2" t="s">
        <v>19</v>
      </c>
      <c r="J211" s="2" t="s">
        <v>12</v>
      </c>
    </row>
    <row r="212" spans="1:10" x14ac:dyDescent="0.35">
      <c r="A212" s="2">
        <v>10211</v>
      </c>
      <c r="B212" s="3" t="str">
        <f t="shared" si="6"/>
        <v>Julho</v>
      </c>
      <c r="C212" s="3">
        <v>45502</v>
      </c>
      <c r="D212" s="2" t="s">
        <v>9</v>
      </c>
      <c r="E212" s="2" t="s">
        <v>228</v>
      </c>
      <c r="F212" s="2">
        <v>1</v>
      </c>
      <c r="G212" s="4">
        <v>74999</v>
      </c>
      <c r="H212" s="4">
        <v>74999</v>
      </c>
      <c r="I212" s="2" t="s">
        <v>11</v>
      </c>
      <c r="J212" s="2" t="s">
        <v>12</v>
      </c>
    </row>
    <row r="213" spans="1:10" x14ac:dyDescent="0.35">
      <c r="A213" s="2">
        <v>10212</v>
      </c>
      <c r="B213" s="3" t="str">
        <f t="shared" si="6"/>
        <v>Julho</v>
      </c>
      <c r="C213" s="3">
        <v>45503</v>
      </c>
      <c r="D213" s="2" t="s">
        <v>13</v>
      </c>
      <c r="E213" s="2" t="s">
        <v>34</v>
      </c>
      <c r="F213" s="2">
        <v>2</v>
      </c>
      <c r="G213" s="4">
        <v>16999</v>
      </c>
      <c r="H213" s="4">
        <v>33998</v>
      </c>
      <c r="I213" s="2" t="s">
        <v>15</v>
      </c>
      <c r="J213" s="2" t="s">
        <v>16</v>
      </c>
    </row>
    <row r="214" spans="1:10" x14ac:dyDescent="0.35">
      <c r="A214" s="2">
        <v>10213</v>
      </c>
      <c r="B214" s="3" t="str">
        <f t="shared" si="6"/>
        <v>Julho</v>
      </c>
      <c r="C214" s="3">
        <v>45504</v>
      </c>
      <c r="D214" s="2" t="s">
        <v>17</v>
      </c>
      <c r="E214" s="2" t="s">
        <v>229</v>
      </c>
      <c r="F214" s="2">
        <v>4</v>
      </c>
      <c r="G214" s="4">
        <v>99</v>
      </c>
      <c r="H214" s="4">
        <v>396</v>
      </c>
      <c r="I214" s="2" t="s">
        <v>19</v>
      </c>
      <c r="J214" s="2" t="s">
        <v>20</v>
      </c>
    </row>
    <row r="215" spans="1:10" x14ac:dyDescent="0.35">
      <c r="A215" s="2">
        <v>10214</v>
      </c>
      <c r="B215" s="3" t="str">
        <f t="shared" si="6"/>
        <v>Agosto</v>
      </c>
      <c r="C215" s="3">
        <v>45505</v>
      </c>
      <c r="D215" s="2" t="s">
        <v>21</v>
      </c>
      <c r="E215" s="2" t="s">
        <v>190</v>
      </c>
      <c r="F215" s="2">
        <v>3</v>
      </c>
      <c r="G215" s="4">
        <v>1099</v>
      </c>
      <c r="H215" s="4">
        <v>3297</v>
      </c>
      <c r="I215" s="2" t="s">
        <v>11</v>
      </c>
      <c r="J215" s="2" t="s">
        <v>12</v>
      </c>
    </row>
    <row r="216" spans="1:10" x14ac:dyDescent="0.35">
      <c r="A216" s="2">
        <v>10215</v>
      </c>
      <c r="B216" s="3" t="str">
        <f t="shared" si="6"/>
        <v>Agosto</v>
      </c>
      <c r="C216" s="3">
        <v>45506</v>
      </c>
      <c r="D216" s="2" t="s">
        <v>23</v>
      </c>
      <c r="E216" s="2" t="s">
        <v>230</v>
      </c>
      <c r="F216" s="2">
        <v>2</v>
      </c>
      <c r="G216" s="4">
        <v>29</v>
      </c>
      <c r="H216" s="4">
        <v>58</v>
      </c>
      <c r="I216" s="2" t="s">
        <v>15</v>
      </c>
      <c r="J216" s="2" t="s">
        <v>16</v>
      </c>
    </row>
    <row r="217" spans="1:10" x14ac:dyDescent="0.35">
      <c r="A217" s="2">
        <v>10216</v>
      </c>
      <c r="B217" s="3" t="str">
        <f t="shared" si="6"/>
        <v>Agosto</v>
      </c>
      <c r="C217" s="3">
        <v>45507</v>
      </c>
      <c r="D217" s="2" t="s">
        <v>25</v>
      </c>
      <c r="E217" s="2" t="s">
        <v>231</v>
      </c>
      <c r="F217" s="2">
        <v>1</v>
      </c>
      <c r="G217" s="4">
        <v>34999</v>
      </c>
      <c r="H217" s="4">
        <v>34999</v>
      </c>
      <c r="I217" s="2" t="s">
        <v>19</v>
      </c>
      <c r="J217" s="2" t="s">
        <v>12</v>
      </c>
    </row>
    <row r="218" spans="1:10" x14ac:dyDescent="0.35">
      <c r="A218" s="2">
        <v>10217</v>
      </c>
      <c r="B218" s="3" t="str">
        <f t="shared" si="6"/>
        <v>Agosto</v>
      </c>
      <c r="C218" s="3">
        <v>45508</v>
      </c>
      <c r="D218" s="2" t="s">
        <v>9</v>
      </c>
      <c r="E218" s="2" t="s">
        <v>232</v>
      </c>
      <c r="F218" s="2">
        <v>1</v>
      </c>
      <c r="G218" s="4">
        <v>2399</v>
      </c>
      <c r="H218" s="4">
        <v>2399</v>
      </c>
      <c r="I218" s="2" t="s">
        <v>11</v>
      </c>
      <c r="J218" s="2" t="s">
        <v>12</v>
      </c>
    </row>
    <row r="219" spans="1:10" x14ac:dyDescent="0.35">
      <c r="A219" s="2">
        <v>10218</v>
      </c>
      <c r="B219" s="3" t="str">
        <f t="shared" si="6"/>
        <v>Agosto</v>
      </c>
      <c r="C219" s="3">
        <v>45509</v>
      </c>
      <c r="D219" s="2" t="s">
        <v>13</v>
      </c>
      <c r="E219" s="2" t="s">
        <v>233</v>
      </c>
      <c r="F219" s="2">
        <v>1</v>
      </c>
      <c r="G219" s="4">
        <v>44999</v>
      </c>
      <c r="H219" s="4">
        <v>44999</v>
      </c>
      <c r="I219" s="2" t="s">
        <v>15</v>
      </c>
      <c r="J219" s="2" t="s">
        <v>16</v>
      </c>
    </row>
    <row r="220" spans="1:10" x14ac:dyDescent="0.35">
      <c r="A220" s="2">
        <v>10219</v>
      </c>
      <c r="B220" s="3" t="str">
        <f t="shared" si="6"/>
        <v>Agosto</v>
      </c>
      <c r="C220" s="3">
        <v>45510</v>
      </c>
      <c r="D220" s="2" t="s">
        <v>17</v>
      </c>
      <c r="E220" s="2" t="s">
        <v>234</v>
      </c>
      <c r="F220" s="2">
        <v>3</v>
      </c>
      <c r="G220" s="4">
        <v>4999</v>
      </c>
      <c r="H220" s="4">
        <v>14997</v>
      </c>
      <c r="I220" s="2" t="s">
        <v>19</v>
      </c>
      <c r="J220" s="2" t="s">
        <v>20</v>
      </c>
    </row>
    <row r="221" spans="1:10" x14ac:dyDescent="0.35">
      <c r="A221" s="2">
        <v>10220</v>
      </c>
      <c r="B221" s="3" t="str">
        <f t="shared" si="6"/>
        <v>Agosto</v>
      </c>
      <c r="C221" s="3">
        <v>45511</v>
      </c>
      <c r="D221" s="2" t="s">
        <v>21</v>
      </c>
      <c r="E221" s="2" t="s">
        <v>235</v>
      </c>
      <c r="F221" s="2">
        <v>2</v>
      </c>
      <c r="G221" s="4">
        <v>1299</v>
      </c>
      <c r="H221" s="4">
        <v>2598</v>
      </c>
      <c r="I221" s="2" t="s">
        <v>11</v>
      </c>
      <c r="J221" s="2" t="s">
        <v>12</v>
      </c>
    </row>
    <row r="222" spans="1:10" x14ac:dyDescent="0.35">
      <c r="A222" s="2">
        <v>10221</v>
      </c>
      <c r="B222" s="3" t="str">
        <f t="shared" si="6"/>
        <v>Agosto</v>
      </c>
      <c r="C222" s="3">
        <v>45512</v>
      </c>
      <c r="D222" s="2" t="s">
        <v>23</v>
      </c>
      <c r="E222" s="2" t="s">
        <v>236</v>
      </c>
      <c r="F222" s="2">
        <v>1</v>
      </c>
      <c r="G222" s="4">
        <v>27</v>
      </c>
      <c r="H222" s="4">
        <v>27</v>
      </c>
      <c r="I222" s="2" t="s">
        <v>15</v>
      </c>
      <c r="J222" s="2" t="s">
        <v>16</v>
      </c>
    </row>
    <row r="223" spans="1:10" x14ac:dyDescent="0.35">
      <c r="A223" s="2">
        <v>10222</v>
      </c>
      <c r="B223" s="3" t="str">
        <f t="shared" si="6"/>
        <v>Agosto</v>
      </c>
      <c r="C223" s="3">
        <v>45513</v>
      </c>
      <c r="D223" s="2" t="s">
        <v>25</v>
      </c>
      <c r="E223" s="2" t="s">
        <v>39</v>
      </c>
      <c r="F223" s="2">
        <v>1</v>
      </c>
      <c r="G223" s="4">
        <v>59999</v>
      </c>
      <c r="H223" s="4">
        <v>59999</v>
      </c>
      <c r="I223" s="2" t="s">
        <v>19</v>
      </c>
      <c r="J223" s="2" t="s">
        <v>12</v>
      </c>
    </row>
    <row r="224" spans="1:10" x14ac:dyDescent="0.35">
      <c r="A224" s="2">
        <v>10223</v>
      </c>
      <c r="B224" s="3" t="str">
        <f t="shared" si="6"/>
        <v>Agosto</v>
      </c>
      <c r="C224" s="3">
        <v>45514</v>
      </c>
      <c r="D224" s="2" t="s">
        <v>9</v>
      </c>
      <c r="E224" s="2" t="s">
        <v>237</v>
      </c>
      <c r="F224" s="2">
        <v>4</v>
      </c>
      <c r="G224" s="4">
        <v>4999</v>
      </c>
      <c r="H224" s="4">
        <v>19996</v>
      </c>
      <c r="I224" s="2" t="s">
        <v>11</v>
      </c>
      <c r="J224" s="2" t="s">
        <v>12</v>
      </c>
    </row>
    <row r="225" spans="1:10" x14ac:dyDescent="0.35">
      <c r="A225" s="2">
        <v>10224</v>
      </c>
      <c r="B225" s="3" t="str">
        <f t="shared" si="6"/>
        <v>Agosto</v>
      </c>
      <c r="C225" s="3">
        <v>45515</v>
      </c>
      <c r="D225" s="2" t="s">
        <v>13</v>
      </c>
      <c r="E225" s="2" t="s">
        <v>238</v>
      </c>
      <c r="F225" s="2">
        <v>2</v>
      </c>
      <c r="G225" s="4">
        <v>22999</v>
      </c>
      <c r="H225" s="4">
        <v>45998</v>
      </c>
      <c r="I225" s="2" t="s">
        <v>15</v>
      </c>
      <c r="J225" s="2" t="s">
        <v>16</v>
      </c>
    </row>
    <row r="226" spans="1:10" x14ac:dyDescent="0.35">
      <c r="A226" s="2">
        <v>10225</v>
      </c>
      <c r="B226" s="3" t="str">
        <f t="shared" si="6"/>
        <v>Agosto</v>
      </c>
      <c r="C226" s="3">
        <v>45516</v>
      </c>
      <c r="D226" s="2" t="s">
        <v>17</v>
      </c>
      <c r="E226" s="2" t="s">
        <v>239</v>
      </c>
      <c r="F226" s="2">
        <v>2</v>
      </c>
      <c r="G226" s="4">
        <v>4499</v>
      </c>
      <c r="H226" s="4">
        <v>8998</v>
      </c>
      <c r="I226" s="2" t="s">
        <v>19</v>
      </c>
      <c r="J226" s="2" t="s">
        <v>20</v>
      </c>
    </row>
    <row r="227" spans="1:10" x14ac:dyDescent="0.35">
      <c r="A227" s="2">
        <v>10226</v>
      </c>
      <c r="B227" s="3" t="str">
        <f t="shared" si="6"/>
        <v>Agosto</v>
      </c>
      <c r="C227" s="3">
        <v>45517</v>
      </c>
      <c r="D227" s="2" t="s">
        <v>21</v>
      </c>
      <c r="E227" s="2" t="s">
        <v>72</v>
      </c>
      <c r="F227" s="2">
        <v>3</v>
      </c>
      <c r="G227" s="4">
        <v>2699</v>
      </c>
      <c r="H227" s="4">
        <v>8097</v>
      </c>
      <c r="I227" s="2" t="s">
        <v>11</v>
      </c>
      <c r="J227" s="2" t="s">
        <v>12</v>
      </c>
    </row>
    <row r="228" spans="1:10" x14ac:dyDescent="0.35">
      <c r="A228" s="2">
        <v>10227</v>
      </c>
      <c r="B228" s="3" t="str">
        <f t="shared" si="6"/>
        <v>Agosto</v>
      </c>
      <c r="C228" s="3">
        <v>45518</v>
      </c>
      <c r="D228" s="2" t="s">
        <v>23</v>
      </c>
      <c r="E228" s="2" t="s">
        <v>240</v>
      </c>
      <c r="F228" s="2">
        <v>1</v>
      </c>
      <c r="G228" s="4">
        <v>67</v>
      </c>
      <c r="H228" s="4">
        <v>67</v>
      </c>
      <c r="I228" s="2" t="s">
        <v>15</v>
      </c>
      <c r="J228" s="2" t="s">
        <v>16</v>
      </c>
    </row>
    <row r="229" spans="1:10" x14ac:dyDescent="0.35">
      <c r="A229" s="2">
        <v>10228</v>
      </c>
      <c r="B229" s="3" t="str">
        <f t="shared" si="6"/>
        <v>Agosto</v>
      </c>
      <c r="C229" s="3">
        <v>45519</v>
      </c>
      <c r="D229" s="2" t="s">
        <v>25</v>
      </c>
      <c r="E229" s="2" t="s">
        <v>241</v>
      </c>
      <c r="F229" s="2">
        <v>2</v>
      </c>
      <c r="G229" s="4">
        <v>14995</v>
      </c>
      <c r="H229" s="4">
        <v>2999</v>
      </c>
      <c r="I229" s="2" t="s">
        <v>19</v>
      </c>
      <c r="J229" s="2" t="s">
        <v>12</v>
      </c>
    </row>
    <row r="230" spans="1:10" x14ac:dyDescent="0.35">
      <c r="A230" s="2">
        <v>10229</v>
      </c>
      <c r="B230" s="3" t="str">
        <f t="shared" si="6"/>
        <v>Agosto</v>
      </c>
      <c r="C230" s="3">
        <v>45520</v>
      </c>
      <c r="D230" s="2" t="s">
        <v>9</v>
      </c>
      <c r="E230" s="2" t="s">
        <v>242</v>
      </c>
      <c r="F230" s="2">
        <v>1</v>
      </c>
      <c r="G230" s="4">
        <v>169</v>
      </c>
      <c r="H230" s="4">
        <v>169</v>
      </c>
      <c r="I230" s="2" t="s">
        <v>11</v>
      </c>
      <c r="J230" s="2" t="s">
        <v>12</v>
      </c>
    </row>
    <row r="231" spans="1:10" x14ac:dyDescent="0.35">
      <c r="A231" s="2">
        <v>10230</v>
      </c>
      <c r="B231" s="3" t="str">
        <f t="shared" si="6"/>
        <v>Agosto</v>
      </c>
      <c r="C231" s="3">
        <v>45521</v>
      </c>
      <c r="D231" s="2" t="s">
        <v>13</v>
      </c>
      <c r="E231" s="2" t="s">
        <v>243</v>
      </c>
      <c r="F231" s="2">
        <v>1</v>
      </c>
      <c r="G231" s="4">
        <v>599</v>
      </c>
      <c r="H231" s="4">
        <v>599</v>
      </c>
      <c r="I231" s="2" t="s">
        <v>15</v>
      </c>
      <c r="J231" s="2" t="s">
        <v>16</v>
      </c>
    </row>
    <row r="232" spans="1:10" x14ac:dyDescent="0.35">
      <c r="A232" s="2">
        <v>10231</v>
      </c>
      <c r="B232" s="3" t="str">
        <f t="shared" si="6"/>
        <v>Agosto</v>
      </c>
      <c r="C232" s="3">
        <v>45522</v>
      </c>
      <c r="D232" s="2" t="s">
        <v>17</v>
      </c>
      <c r="E232" s="2" t="s">
        <v>244</v>
      </c>
      <c r="F232" s="2">
        <v>4</v>
      </c>
      <c r="G232" s="4">
        <v>6499</v>
      </c>
      <c r="H232" s="4">
        <v>25996</v>
      </c>
      <c r="I232" s="2" t="s">
        <v>19</v>
      </c>
      <c r="J232" s="2" t="s">
        <v>20</v>
      </c>
    </row>
    <row r="233" spans="1:10" x14ac:dyDescent="0.35">
      <c r="A233" s="2">
        <v>10232</v>
      </c>
      <c r="B233" s="3" t="str">
        <f t="shared" si="6"/>
        <v>Agosto</v>
      </c>
      <c r="C233" s="3">
        <v>45523</v>
      </c>
      <c r="D233" s="2" t="s">
        <v>21</v>
      </c>
      <c r="E233" s="2" t="s">
        <v>30</v>
      </c>
      <c r="F233" s="2">
        <v>2</v>
      </c>
      <c r="G233" s="4">
        <v>999</v>
      </c>
      <c r="H233" s="4">
        <v>1998</v>
      </c>
      <c r="I233" s="2" t="s">
        <v>11</v>
      </c>
      <c r="J233" s="2" t="s">
        <v>12</v>
      </c>
    </row>
    <row r="234" spans="1:10" x14ac:dyDescent="0.35">
      <c r="A234" s="2">
        <v>10233</v>
      </c>
      <c r="B234" s="3" t="str">
        <f t="shared" si="6"/>
        <v>Agosto</v>
      </c>
      <c r="C234" s="3">
        <v>45524</v>
      </c>
      <c r="D234" s="2" t="s">
        <v>23</v>
      </c>
      <c r="E234" s="2" t="s">
        <v>245</v>
      </c>
      <c r="F234" s="2">
        <v>1</v>
      </c>
      <c r="G234" s="4">
        <v>24</v>
      </c>
      <c r="H234" s="4">
        <v>24</v>
      </c>
      <c r="I234" s="2" t="s">
        <v>15</v>
      </c>
      <c r="J234" s="2" t="s">
        <v>16</v>
      </c>
    </row>
    <row r="235" spans="1:10" x14ac:dyDescent="0.35">
      <c r="A235" s="2">
        <v>10234</v>
      </c>
      <c r="B235" s="3" t="str">
        <f t="shared" si="6"/>
        <v>Agosto</v>
      </c>
      <c r="C235" s="3">
        <v>45525</v>
      </c>
      <c r="D235" s="2" t="s">
        <v>25</v>
      </c>
      <c r="E235" s="2" t="s">
        <v>246</v>
      </c>
      <c r="F235" s="2">
        <v>3</v>
      </c>
      <c r="G235" s="4">
        <v>3295</v>
      </c>
      <c r="H235" s="4">
        <v>9885</v>
      </c>
      <c r="I235" s="2" t="s">
        <v>19</v>
      </c>
      <c r="J235" s="2" t="s">
        <v>12</v>
      </c>
    </row>
    <row r="236" spans="1:10" x14ac:dyDescent="0.35">
      <c r="A236" s="2">
        <v>10235</v>
      </c>
      <c r="B236" s="3" t="str">
        <f t="shared" si="6"/>
        <v>Agosto</v>
      </c>
      <c r="C236" s="3">
        <v>45526</v>
      </c>
      <c r="D236" s="2" t="s">
        <v>9</v>
      </c>
      <c r="E236" s="2" t="s">
        <v>247</v>
      </c>
      <c r="F236" s="2">
        <v>1</v>
      </c>
      <c r="G236" s="4">
        <v>299</v>
      </c>
      <c r="H236" s="4">
        <v>299</v>
      </c>
      <c r="I236" s="2" t="s">
        <v>11</v>
      </c>
      <c r="J236" s="2" t="s">
        <v>12</v>
      </c>
    </row>
    <row r="237" spans="1:10" x14ac:dyDescent="0.35">
      <c r="A237" s="2">
        <v>10236</v>
      </c>
      <c r="B237" s="3" t="str">
        <f t="shared" si="6"/>
        <v>Agosto</v>
      </c>
      <c r="C237" s="3">
        <v>45527</v>
      </c>
      <c r="D237" s="2" t="s">
        <v>13</v>
      </c>
      <c r="E237" s="2" t="s">
        <v>248</v>
      </c>
      <c r="F237" s="2">
        <v>1</v>
      </c>
      <c r="G237" s="4">
        <v>15999</v>
      </c>
      <c r="H237" s="4">
        <v>15999</v>
      </c>
      <c r="I237" s="2" t="s">
        <v>15</v>
      </c>
      <c r="J237" s="2" t="s">
        <v>16</v>
      </c>
    </row>
    <row r="238" spans="1:10" x14ac:dyDescent="0.35">
      <c r="A238" s="2">
        <v>10237</v>
      </c>
      <c r="B238" s="3" t="str">
        <f t="shared" si="6"/>
        <v>Agosto</v>
      </c>
      <c r="C238" s="3">
        <v>45528</v>
      </c>
      <c r="D238" s="2" t="s">
        <v>17</v>
      </c>
      <c r="E238" s="2" t="s">
        <v>249</v>
      </c>
      <c r="F238" s="2">
        <v>3</v>
      </c>
      <c r="G238" s="4">
        <v>90</v>
      </c>
      <c r="H238" s="4">
        <v>270</v>
      </c>
      <c r="I238" s="2" t="s">
        <v>19</v>
      </c>
      <c r="J238" s="2" t="s">
        <v>20</v>
      </c>
    </row>
    <row r="239" spans="1:10" x14ac:dyDescent="0.35">
      <c r="A239" s="2">
        <v>10238</v>
      </c>
      <c r="B239" s="3" t="str">
        <f t="shared" si="6"/>
        <v>Agosto</v>
      </c>
      <c r="C239" s="3">
        <v>45529</v>
      </c>
      <c r="D239" s="2" t="s">
        <v>21</v>
      </c>
      <c r="E239" s="2" t="s">
        <v>250</v>
      </c>
      <c r="F239" s="2">
        <v>3</v>
      </c>
      <c r="G239" s="4">
        <v>1099</v>
      </c>
      <c r="H239" s="4">
        <v>3297</v>
      </c>
      <c r="I239" s="2" t="s">
        <v>11</v>
      </c>
      <c r="J239" s="2" t="s">
        <v>12</v>
      </c>
    </row>
    <row r="240" spans="1:10" x14ac:dyDescent="0.35">
      <c r="A240" s="2">
        <v>10239</v>
      </c>
      <c r="B240" s="3" t="str">
        <f t="shared" si="6"/>
        <v>Agosto</v>
      </c>
      <c r="C240" s="3">
        <v>45530</v>
      </c>
      <c r="D240" s="2" t="s">
        <v>23</v>
      </c>
      <c r="E240" s="2" t="s">
        <v>251</v>
      </c>
      <c r="F240" s="2">
        <v>1</v>
      </c>
      <c r="G240" s="4">
        <v>55</v>
      </c>
      <c r="H240" s="4">
        <v>55</v>
      </c>
      <c r="I240" s="2" t="s">
        <v>15</v>
      </c>
      <c r="J240" s="2" t="s">
        <v>16</v>
      </c>
    </row>
    <row r="241" spans="1:10" x14ac:dyDescent="0.35">
      <c r="A241" s="2">
        <v>10240</v>
      </c>
      <c r="B241" s="3" t="str">
        <f t="shared" si="6"/>
        <v>Agosto</v>
      </c>
      <c r="C241" s="3">
        <v>45531</v>
      </c>
      <c r="D241" s="2" t="s">
        <v>25</v>
      </c>
      <c r="E241" s="2" t="s">
        <v>252</v>
      </c>
      <c r="F241" s="2">
        <v>2</v>
      </c>
      <c r="G241" s="4">
        <v>2999</v>
      </c>
      <c r="H241" s="4">
        <v>5998</v>
      </c>
      <c r="I241" s="2" t="s">
        <v>19</v>
      </c>
      <c r="J241" s="2" t="s">
        <v>12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4">
    <tablePart r:id="rId3"/>
    <tablePart r:id="rId4"/>
    <tablePart r:id="rId5"/>
    <tablePart r:id="rId6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73E0-5046-44BC-8D82-304A1E1A3A6F}">
  <dimension ref="A1"/>
  <sheetViews>
    <sheetView zoomScale="55" zoomScaleNormal="55" workbookViewId="0">
      <selection activeCell="S35" sqref="S35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7b9888-e2ba-470d-b9a9-dfcd4c67d4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186024D536F443BDA6BCDACA7E6984" ma:contentTypeVersion="5" ma:contentTypeDescription="Crie um novo documento." ma:contentTypeScope="" ma:versionID="6aa0244ca8ad6eddea1eb2aa28a2bd7b">
  <xsd:schema xmlns:xsd="http://www.w3.org/2001/XMLSchema" xmlns:xs="http://www.w3.org/2001/XMLSchema" xmlns:p="http://schemas.microsoft.com/office/2006/metadata/properties" xmlns:ns3="727b9888-e2ba-470d-b9a9-dfcd4c67d469" targetNamespace="http://schemas.microsoft.com/office/2006/metadata/properties" ma:root="true" ma:fieldsID="97eca54156d31698405a1962c9a62cd0" ns3:_="">
    <xsd:import namespace="727b9888-e2ba-470d-b9a9-dfcd4c67d4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b9888-e2ba-470d-b9a9-dfcd4c67d4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405FD66-0077-4673-A5F3-930D1207E445}">
  <ds:schemaRefs>
    <ds:schemaRef ds:uri="http://schemas.microsoft.com/office/2006/documentManagement/types"/>
    <ds:schemaRef ds:uri="http://purl.org/dc/elements/1.1/"/>
    <ds:schemaRef ds:uri="727b9888-e2ba-470d-b9a9-dfcd4c67d469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0FA8D4C-B350-436D-AA00-D8296EA058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17F1C4-9C76-4619-A3F5-2DE19BC5E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b9888-e2ba-470d-b9a9-dfcd4c67d4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D6AFB93-CAC5-4009-B144-83697ECB7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Online Sales Data</vt:lpstr>
      <vt:lpstr>Online Sales Data - Analise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2025-11-11T19:09:12Z</dcterms:created>
  <dcterms:modified xsi:type="dcterms:W3CDTF">2025-11-12T16:17:34Z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0x01010019186024D536F443BDA6BCDACA7E6984</vt:lpwstr>
  </property>
</Properties>
</file>